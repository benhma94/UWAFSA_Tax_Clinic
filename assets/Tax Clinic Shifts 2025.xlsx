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2 - RCH 301" sheetId="1" r:id="rId4"/>
    <sheet state="visible" name="March 23 - M3 1006" sheetId="2" r:id="rId5"/>
    <sheet state="visible" name="March 29 - M3 1006" sheetId="3" r:id="rId6"/>
    <sheet state="visible" name="March 30 - M3 1006" sheetId="4" r:id="rId7"/>
    <sheet state="visible" name="By Name" sheetId="5" r:id="rId8"/>
  </sheets>
  <definedNames/>
  <calcPr/>
</workbook>
</file>

<file path=xl/sharedStrings.xml><?xml version="1.0" encoding="utf-8"?>
<sst xmlns="http://schemas.openxmlformats.org/spreadsheetml/2006/main" count="2760" uniqueCount="252">
  <si>
    <t>Time</t>
  </si>
  <si>
    <t>Name</t>
  </si>
  <si>
    <t xml:space="preserve">Role </t>
  </si>
  <si>
    <t>Count</t>
  </si>
  <si>
    <t>Sum</t>
  </si>
  <si>
    <t xml:space="preserve">9:00am - 1:00pm </t>
  </si>
  <si>
    <t>Aarushi Awasthi</t>
  </si>
  <si>
    <t>Receptionist</t>
  </si>
  <si>
    <t>x</t>
  </si>
  <si>
    <t xml:space="preserve">1:00pm - 5:00pm </t>
  </si>
  <si>
    <t>Kate Korsch</t>
  </si>
  <si>
    <t xml:space="preserve">5:00pm - 9:00pm </t>
  </si>
  <si>
    <t>Bon Lim</t>
  </si>
  <si>
    <t>Qin Du</t>
  </si>
  <si>
    <t>Receptionist/Mentor</t>
  </si>
  <si>
    <t>Eric</t>
  </si>
  <si>
    <t>Tax Boss</t>
  </si>
  <si>
    <t xml:space="preserve">Rebecca </t>
  </si>
  <si>
    <t>Tax Guru</t>
  </si>
  <si>
    <t>Baldwyn Tai</t>
  </si>
  <si>
    <t>Tax Guru's Minion</t>
  </si>
  <si>
    <t xml:space="preserve">Ben </t>
  </si>
  <si>
    <t>Unemployed Tax Grunt</t>
  </si>
  <si>
    <t>Krisha Shah</t>
  </si>
  <si>
    <t>IS</t>
  </si>
  <si>
    <t>Kabilash</t>
  </si>
  <si>
    <t>Aaron Gao</t>
  </si>
  <si>
    <t>Amy Cheung</t>
  </si>
  <si>
    <t>Mentor</t>
  </si>
  <si>
    <t>Andrew Pang</t>
  </si>
  <si>
    <t>Mentor/Flex</t>
  </si>
  <si>
    <t>Anna  Zhong</t>
  </si>
  <si>
    <t>Audrey Lee</t>
  </si>
  <si>
    <t>Aurora Wang</t>
  </si>
  <si>
    <t>5:00pm - 9:00pm</t>
  </si>
  <si>
    <t>Christina Nie</t>
  </si>
  <si>
    <t>Jadon Xu</t>
  </si>
  <si>
    <t>Kevin Pham</t>
  </si>
  <si>
    <t>Lillian Chen</t>
  </si>
  <si>
    <t>Manisha Royal</t>
  </si>
  <si>
    <t>Mingrui Xu</t>
  </si>
  <si>
    <t>Melissa Guo</t>
  </si>
  <si>
    <t>Nikola Simonovic</t>
  </si>
  <si>
    <t>Steven Ye</t>
  </si>
  <si>
    <t>Prabjot  Passi</t>
  </si>
  <si>
    <t>tiffany chen</t>
  </si>
  <si>
    <t>Timothy Chen</t>
  </si>
  <si>
    <t>Scarlett Xia</t>
  </si>
  <si>
    <t>Victoria He</t>
  </si>
  <si>
    <t>Seniru De Silva</t>
  </si>
  <si>
    <t>Vivian Zhong</t>
  </si>
  <si>
    <t>Yizhen Chen</t>
  </si>
  <si>
    <t>Yuqi Wang</t>
  </si>
  <si>
    <t>Zhiyue Huang</t>
  </si>
  <si>
    <t>Vivian Lu</t>
  </si>
  <si>
    <t>Yutong Xu</t>
  </si>
  <si>
    <t>Harper Zhang</t>
  </si>
  <si>
    <t>Melody Yu</t>
  </si>
  <si>
    <t>Aghchaya Satheskishan</t>
  </si>
  <si>
    <t>Tax Filer</t>
  </si>
  <si>
    <t>Abisha Vigneswaran</t>
  </si>
  <si>
    <t>Aneil Ghosh</t>
  </si>
  <si>
    <t>Alex Hu</t>
  </si>
  <si>
    <t>Arthy Mathan</t>
  </si>
  <si>
    <t>Andrew Zulawski-Dayeh</t>
  </si>
  <si>
    <t>Asjal Khan</t>
  </si>
  <si>
    <t>Brandon Zeng</t>
  </si>
  <si>
    <t>Campbell Steffler</t>
  </si>
  <si>
    <t>Bhooma Chavadia</t>
  </si>
  <si>
    <t>Daniel Solomon</t>
  </si>
  <si>
    <t>Darren Cheung</t>
  </si>
  <si>
    <t>Charles Huang</t>
  </si>
  <si>
    <t>Brendan Tan</t>
  </si>
  <si>
    <t>David Hetherton</t>
  </si>
  <si>
    <t>David Pocrnic</t>
  </si>
  <si>
    <t>Emma Gangl</t>
  </si>
  <si>
    <t>Earagan Nimalan</t>
  </si>
  <si>
    <t>Gurleen Bagri</t>
  </si>
  <si>
    <t>Ege Altinoglu</t>
  </si>
  <si>
    <t>Haroon Faizi</t>
  </si>
  <si>
    <t>Elaine Li</t>
  </si>
  <si>
    <t>Elliana Morrison</t>
  </si>
  <si>
    <t>Iman Syed</t>
  </si>
  <si>
    <t>Iman Zafar</t>
  </si>
  <si>
    <t>Habiba Ahmed</t>
  </si>
  <si>
    <t>Jackie Chen</t>
  </si>
  <si>
    <t>Hadi Meski</t>
  </si>
  <si>
    <t>Jerusha Antony</t>
  </si>
  <si>
    <t>Jonathan Abraham</t>
  </si>
  <si>
    <t>Irene Gong</t>
  </si>
  <si>
    <t>Katrina Caron</t>
  </si>
  <si>
    <t>Louisa Wei</t>
  </si>
  <si>
    <t>Joshua Alex</t>
  </si>
  <si>
    <t>Ramiah Sivashanker</t>
  </si>
  <si>
    <t>Stephen Cheng</t>
  </si>
  <si>
    <t>Manal Sheeraz</t>
  </si>
  <si>
    <t>Tanmay Tiwari</t>
  </si>
  <si>
    <t>Matthew Martin</t>
  </si>
  <si>
    <t>Tim Lee</t>
  </si>
  <si>
    <t>Mustafa Mahmood</t>
  </si>
  <si>
    <t>Tori Cao</t>
  </si>
  <si>
    <t>Nicole Chau</t>
  </si>
  <si>
    <t>Young Hoon Jeon</t>
  </si>
  <si>
    <t>Nikita Fediounin</t>
  </si>
  <si>
    <t>Ramiq Rehan</t>
  </si>
  <si>
    <t>Zahraa Jasat</t>
  </si>
  <si>
    <t>Quinn Broadhurst</t>
  </si>
  <si>
    <t>Saranyan Pirahalathan</t>
  </si>
  <si>
    <t>William Liu</t>
  </si>
  <si>
    <t>Taha Farooq</t>
  </si>
  <si>
    <t>Thomas Cafazzo</t>
  </si>
  <si>
    <t>Wairhe Alaka</t>
  </si>
  <si>
    <t>Yanzhou Piao</t>
  </si>
  <si>
    <t>Varun Patel</t>
  </si>
  <si>
    <t>Yasagan Thevasenan</t>
  </si>
  <si>
    <t>Zoe Fan-Chiang</t>
  </si>
  <si>
    <t>Tiffany Ho</t>
  </si>
  <si>
    <t>Receptionist/Flex</t>
  </si>
  <si>
    <t>Hanna Leung</t>
  </si>
  <si>
    <t>Aimée Boulay</t>
  </si>
  <si>
    <t>Ambrose Karklins</t>
  </si>
  <si>
    <t>Anastasija Kovacevic</t>
  </si>
  <si>
    <t>Claire Kennedy</t>
  </si>
  <si>
    <t>Enoch Tin</t>
  </si>
  <si>
    <t>Clement Huang</t>
  </si>
  <si>
    <t>Jake Li</t>
  </si>
  <si>
    <t>Heer Patel</t>
  </si>
  <si>
    <t>Julian Worobiec</t>
  </si>
  <si>
    <t>Meghan Tran</t>
  </si>
  <si>
    <t>Ryan Hui</t>
  </si>
  <si>
    <t>Maurice Lam</t>
  </si>
  <si>
    <t>Shahana Prabagaran</t>
  </si>
  <si>
    <t>Muhammad Wasif</t>
  </si>
  <si>
    <t>Shrey Patel</t>
  </si>
  <si>
    <t>Shane Balkaran</t>
  </si>
  <si>
    <t>Saniya  Nag</t>
  </si>
  <si>
    <t>Anushiya Sathiyamoorthy</t>
  </si>
  <si>
    <t>Annie Chen</t>
  </si>
  <si>
    <t>Andy Nguyen</t>
  </si>
  <si>
    <t>Anthony Quach</t>
  </si>
  <si>
    <t>Brandon Phan</t>
  </si>
  <si>
    <t>Carrie Chung</t>
  </si>
  <si>
    <t>Brume Erivwo</t>
  </si>
  <si>
    <t>Demi Pan</t>
  </si>
  <si>
    <t>Alyson Chin</t>
  </si>
  <si>
    <t>Edwina Li</t>
  </si>
  <si>
    <t>Emily Huo</t>
  </si>
  <si>
    <t>Hannah Nguyen</t>
  </si>
  <si>
    <t>Hillary Man</t>
  </si>
  <si>
    <t>Gary Zhang</t>
  </si>
  <si>
    <t>Grace Shaw</t>
  </si>
  <si>
    <t>Jack McCowan</t>
  </si>
  <si>
    <t>Jayden Chow</t>
  </si>
  <si>
    <t>Jackson Armitage</t>
  </si>
  <si>
    <t>Kritika Khurana</t>
  </si>
  <si>
    <t>Harleen Aulakh</t>
  </si>
  <si>
    <t>Jiwoon Kim</t>
  </si>
  <si>
    <t>Maryam Khalid</t>
  </si>
  <si>
    <t>Nadia Mesfin</t>
  </si>
  <si>
    <t>Reinica Fok</t>
  </si>
  <si>
    <t>Reet Kainth</t>
  </si>
  <si>
    <t>Rina Lad</t>
  </si>
  <si>
    <t>Selena Wang</t>
  </si>
  <si>
    <t>Stephanie Song</t>
  </si>
  <si>
    <t>Rizak Virdi</t>
  </si>
  <si>
    <t>Shawna Wu</t>
  </si>
  <si>
    <t>Tiffany Wong</t>
  </si>
  <si>
    <t>Saraansh Joshi</t>
  </si>
  <si>
    <t>Shrisha Gupta</t>
  </si>
  <si>
    <t>Vedant Shinde</t>
  </si>
  <si>
    <t>Ziqiao Chen</t>
  </si>
  <si>
    <t>Tina Li</t>
  </si>
  <si>
    <t>First Name</t>
  </si>
  <si>
    <t>John Yung</t>
  </si>
  <si>
    <t>Alice Fei</t>
  </si>
  <si>
    <t>Anoja Kanagaruban</t>
  </si>
  <si>
    <t>Ben Crasto</t>
  </si>
  <si>
    <t>Arjun Das</t>
  </si>
  <si>
    <t>Bryon Lee</t>
  </si>
  <si>
    <t>Gia Zhou</t>
  </si>
  <si>
    <t>Grace  Harianto</t>
  </si>
  <si>
    <t>Emma Li</t>
  </si>
  <si>
    <t>Harrison Liu</t>
  </si>
  <si>
    <t>Helen Huang</t>
  </si>
  <si>
    <t>Jiale Deng</t>
  </si>
  <si>
    <t>Linda Li</t>
  </si>
  <si>
    <t>Mia Pang</t>
  </si>
  <si>
    <t>Tanreet Dharni</t>
  </si>
  <si>
    <t>Nihar Raval</t>
  </si>
  <si>
    <t>Vanie Tran</t>
  </si>
  <si>
    <t>Jashan Gill</t>
  </si>
  <si>
    <t>Adnan Nasiree</t>
  </si>
  <si>
    <t>Anna Shields</t>
  </si>
  <si>
    <t>Aryan Bhattacharjee</t>
  </si>
  <si>
    <t>Ashley Kim</t>
  </si>
  <si>
    <t>Diya Tripuraneni</t>
  </si>
  <si>
    <t>Emily Lin</t>
  </si>
  <si>
    <t>Emily Zhang</t>
  </si>
  <si>
    <t>Felicia Liao</t>
  </si>
  <si>
    <t>Freeda Zhang</t>
  </si>
  <si>
    <t>Fabiha Faruq</t>
  </si>
  <si>
    <t>Ian Xu</t>
  </si>
  <si>
    <t>Iris Jung</t>
  </si>
  <si>
    <t>Hannah Thomas</t>
  </si>
  <si>
    <t>Kaavish Hasan</t>
  </si>
  <si>
    <t>Kunal Kapoor</t>
  </si>
  <si>
    <t>Jeishan Prakash</t>
  </si>
  <si>
    <t>Scarlett Hao</t>
  </si>
  <si>
    <t>Tax Filer/Flex</t>
  </si>
  <si>
    <t>Tiffany Chow</t>
  </si>
  <si>
    <t>Kelvin Singh</t>
  </si>
  <si>
    <t>Yanushan Gnanaeswaran</t>
  </si>
  <si>
    <t>Mary Liu</t>
  </si>
  <si>
    <t>Purva Patel</t>
  </si>
  <si>
    <t>Nadeen O’Reilly</t>
  </si>
  <si>
    <t>Sasvat Patel</t>
  </si>
  <si>
    <t>Shayan Nezhad Ahmadi</t>
  </si>
  <si>
    <t>Umair Sharif</t>
  </si>
  <si>
    <t>Maryam Awad</t>
  </si>
  <si>
    <t>Natalia Ruiz</t>
  </si>
  <si>
    <t>Darnisa Ratnalingam</t>
  </si>
  <si>
    <t>Nathan Woods</t>
  </si>
  <si>
    <t>Mica Hua</t>
  </si>
  <si>
    <t>Samee Haque</t>
  </si>
  <si>
    <t>Brody Sidaway</t>
  </si>
  <si>
    <t>Kailey Qiu</t>
  </si>
  <si>
    <t>Michelle Wu</t>
  </si>
  <si>
    <t>Tyler Lambert</t>
  </si>
  <si>
    <t>Full Name</t>
  </si>
  <si>
    <t>Count of shifts assigned</t>
  </si>
  <si>
    <t>Saturday March 22nd, 9:00am - 1:00pm 
RCH 301</t>
  </si>
  <si>
    <t>Saturday March 22nd, 1:00pm - 5:00 pm
RCH 301</t>
  </si>
  <si>
    <t>Saturday March 22nd, 5:00pm - 9:00pm 
RCH 301</t>
  </si>
  <si>
    <t>Sunday March 23rd, 9:00am - 1:00pm 
M3 1006</t>
  </si>
  <si>
    <t>Sunday March 23rd, 1:00pm - 5:00pm M3 1006</t>
  </si>
  <si>
    <t>Sunday March 23rd, 5:00pm - 9:00pm 
M3 1006</t>
  </si>
  <si>
    <t>Saturday March 29th, 9:00am - 1:00pm M3 1006</t>
  </si>
  <si>
    <t>Saturday March 29th, 1:00pm - 5:00pm 
M3 1006</t>
  </si>
  <si>
    <t>Saturday March 29th, 5:00pm - 9:00pm M3 1006</t>
  </si>
  <si>
    <t>Sunday March 30th, 9:00am - 1:00pm 
M3 1006</t>
  </si>
  <si>
    <t>Sunday March 30th, 1:00pm - 5:00pm 
M3 1006</t>
  </si>
  <si>
    <t>Sunday March 30th, 5:00pm - 9:00pm 
M3 1006</t>
  </si>
  <si>
    <t>Prabjot Passi</t>
  </si>
  <si>
    <t>Saniya Nag</t>
  </si>
  <si>
    <t>Anna Zhong</t>
  </si>
  <si>
    <t>Darren Lang</t>
  </si>
  <si>
    <t>Siyan Chen</t>
  </si>
  <si>
    <t>Grace Harianto</t>
  </si>
  <si>
    <t>Griva Patel</t>
  </si>
  <si>
    <t>Kaveri Gunaratnam</t>
  </si>
  <si>
    <t>Ale Hu</t>
  </si>
  <si>
    <t>Samiha Islam Sarah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</si>
</sst>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434343"/>
      <name val="Roboto"/>
    </font>
    <font>
      <color rgb="FF1F1F1F"/>
      <name val="Arial"/>
      <scheme val="minor"/>
    </font>
    <font>
      <color rgb="FF1F1F1F"/>
      <name val="Arial"/>
    </font>
    <font>
      <b/>
      <sz val="11.0"/>
      <color theme="1"/>
      <name val="&quot;Aptos Narrow&quot;"/>
    </font>
    <font>
      <b/>
      <sz val="11.0"/>
      <color theme="1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6">
    <border/>
    <border>
      <bottom style="thick">
        <color rgb="FF000000"/>
      </bottom>
    </border>
    <border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2" fontId="2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3" fillId="5" fontId="6" numFmtId="0" xfId="0" applyAlignment="1" applyBorder="1" applyFill="1" applyFont="1">
      <alignment readingOrder="0" shrinkToFit="0" wrapText="0"/>
    </xf>
    <xf borderId="4" fillId="6" fontId="6" numFmtId="0" xfId="0" applyAlignment="1" applyBorder="1" applyFill="1" applyFont="1">
      <alignment readingOrder="0" shrinkToFit="0" wrapText="0"/>
    </xf>
    <xf borderId="0" fillId="7" fontId="2" numFmtId="0" xfId="0" applyAlignment="1" applyFill="1" applyFont="1">
      <alignment vertical="bottom"/>
    </xf>
    <xf borderId="0" fillId="7" fontId="3" numFmtId="0" xfId="0" applyAlignment="1" applyFont="1">
      <alignment readingOrder="0"/>
    </xf>
    <xf borderId="4" fillId="5" fontId="6" numFmtId="0" xfId="0" applyAlignment="1" applyBorder="1" applyFont="1">
      <alignment readingOrder="0" shrinkToFit="0" wrapText="0"/>
    </xf>
    <xf borderId="3" fillId="6" fontId="6" numFmtId="0" xfId="0" applyAlignment="1" applyBorder="1" applyFont="1">
      <alignment readingOrder="0" shrinkToFit="0" wrapText="0"/>
    </xf>
    <xf borderId="3" fillId="5" fontId="6" numFmtId="0" xfId="0" applyAlignment="1" applyBorder="1" applyFont="1">
      <alignment readingOrder="0" shrinkToFit="0" vertical="bottom" wrapText="0"/>
    </xf>
    <xf borderId="0" fillId="8" fontId="3" numFmtId="0" xfId="0" applyAlignment="1" applyFill="1" applyFont="1">
      <alignment readingOrder="0"/>
    </xf>
    <xf borderId="4" fillId="5" fontId="6" numFmtId="0" xfId="0" applyAlignment="1" applyBorder="1" applyFont="1">
      <alignment readingOrder="0" shrinkToFit="0" vertical="bottom" wrapText="0"/>
    </xf>
    <xf borderId="0" fillId="7" fontId="2" numFmtId="0" xfId="0" applyAlignment="1" applyFont="1">
      <alignment readingOrder="0" vertical="bottom"/>
    </xf>
    <xf borderId="0" fillId="5" fontId="6" numFmtId="0" xfId="0" applyAlignment="1" applyFont="1">
      <alignment readingOrder="0" shrinkToFit="0" vertical="bottom" wrapText="0"/>
    </xf>
    <xf borderId="0" fillId="5" fontId="6" numFmtId="0" xfId="0" applyAlignment="1" applyFont="1">
      <alignment readingOrder="0" shrinkToFit="0" vertical="top" wrapText="0"/>
    </xf>
    <xf borderId="0" fillId="5" fontId="6" numFmtId="0" xfId="0" applyAlignment="1" applyFont="1">
      <alignment readingOrder="0" shrinkToFit="0" wrapText="0"/>
    </xf>
    <xf borderId="0" fillId="6" fontId="6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4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8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top" wrapText="0"/>
    </xf>
    <xf borderId="2" fillId="2" fontId="2" numFmtId="0" xfId="0" applyAlignment="1" applyBorder="1" applyFont="1">
      <alignment readingOrder="0" vertical="bottom"/>
    </xf>
    <xf borderId="0" fillId="0" fontId="3" numFmtId="19" xfId="0" applyAlignment="1" applyFont="1" applyNumberFormat="1">
      <alignment readingOrder="0"/>
    </xf>
    <xf borderId="3" fillId="0" fontId="2" numFmtId="0" xfId="0" applyAlignment="1" applyBorder="1" applyFont="1">
      <alignment readingOrder="0" vertical="bottom"/>
    </xf>
    <xf borderId="0" fillId="6" fontId="7" numFmtId="0" xfId="0" applyAlignment="1" applyFont="1">
      <alignment horizontal="left" readingOrder="0" shrinkToFit="0" vertical="top" wrapText="0"/>
    </xf>
    <xf borderId="0" fillId="0" fontId="8" numFmtId="0" xfId="0" applyAlignment="1" applyFont="1">
      <alignment horizontal="left" readingOrder="0" shrinkToFit="0" vertical="bottom" wrapText="0"/>
    </xf>
    <xf borderId="0" fillId="6" fontId="3" numFmtId="0" xfId="0" applyAlignment="1" applyFont="1">
      <alignment readingOrder="0"/>
    </xf>
    <xf borderId="0" fillId="9" fontId="2" numFmtId="0" xfId="0" applyAlignment="1" applyFont="1">
      <alignment vertical="bottom"/>
    </xf>
    <xf borderId="0" fillId="10" fontId="2" numFmtId="0" xfId="0" applyAlignment="1" applyFill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9" numFmtId="0" xfId="0" applyAlignment="1" applyFont="1">
      <alignment horizontal="center" readingOrder="0" shrinkToFit="0" vertical="bottom" wrapText="1"/>
    </xf>
    <xf borderId="5" fillId="0" fontId="10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5" fillId="6" fontId="11" numFmtId="0" xfId="0" applyAlignment="1" applyBorder="1" applyFont="1">
      <alignment horizontal="center" readingOrder="0" shrinkToFit="0" vertical="bottom" wrapText="0"/>
    </xf>
    <xf borderId="0" fillId="6" fontId="12" numFmtId="0" xfId="0" applyAlignment="1" applyFont="1">
      <alignment horizontal="center" readingOrder="0" shrinkToFit="0" vertical="bottom" wrapText="0"/>
    </xf>
    <xf borderId="0" fillId="6" fontId="11" numFmtId="0" xfId="0" applyAlignment="1" applyFont="1">
      <alignment horizontal="center" shrinkToFit="0" vertical="bottom" wrapText="0"/>
    </xf>
    <xf borderId="5" fillId="6" fontId="1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5" fillId="0" fontId="3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6">
    <tableStyle count="2" pivot="0" name="March 22 - RCH 301-style">
      <tableStyleElement dxfId="1" type="firstRowStripe"/>
      <tableStyleElement dxfId="2" type="secondRowStripe"/>
    </tableStyle>
    <tableStyle count="2" pivot="0" name="March 22 - RCH 301-style 2">
      <tableStyleElement dxfId="2" type="firstRowStripe"/>
      <tableStyleElement dxfId="1" type="secondRowStripe"/>
    </tableStyle>
    <tableStyle count="2" pivot="0" name="March 22 - RCH 301-style 3">
      <tableStyleElement dxfId="2" type="firstRowStripe"/>
      <tableStyleElement dxfId="1" type="secondRowStripe"/>
    </tableStyle>
    <tableStyle count="2" pivot="0" name="March 22 - RCH 301-style 4">
      <tableStyleElement dxfId="1" type="firstRowStripe"/>
      <tableStyleElement dxfId="2" type="secondRowStripe"/>
    </tableStyle>
    <tableStyle count="2" pivot="0" name="March 22 - RCH 301-style 5">
      <tableStyleElement dxfId="2" type="firstRowStripe"/>
      <tableStyleElement dxfId="1" type="secondRowStripe"/>
    </tableStyle>
    <tableStyle count="2" pivot="0" name="March 23 - M3 1006-style">
      <tableStyleElement dxfId="1" type="firstRowStripe"/>
      <tableStyleElement dxfId="2" type="secondRowStripe"/>
    </tableStyle>
    <tableStyle count="2" pivot="0" name="March 23 - M3 1006-style 2">
      <tableStyleElement dxfId="2" type="firstRowStripe"/>
      <tableStyleElement dxfId="1" type="secondRowStripe"/>
    </tableStyle>
    <tableStyle count="2" pivot="0" name="March 23 - M3 1006-style 3">
      <tableStyleElement dxfId="2" type="firstRowStripe"/>
      <tableStyleElement dxfId="1" type="secondRowStripe"/>
    </tableStyle>
    <tableStyle count="2" pivot="0" name="March 29 - M3 1006-style">
      <tableStyleElement dxfId="1" type="firstRowStripe"/>
      <tableStyleElement dxfId="2" type="secondRowStripe"/>
    </tableStyle>
    <tableStyle count="2" pivot="0" name="March 29 - M3 1006-style 2">
      <tableStyleElement dxfId="2" type="firstRowStripe"/>
      <tableStyleElement dxfId="1" type="secondRowStripe"/>
    </tableStyle>
    <tableStyle count="2" pivot="0" name="March 29 - M3 1006-style 3">
      <tableStyleElement dxfId="2" type="firstRowStripe"/>
      <tableStyleElement dxfId="1" type="secondRowStripe"/>
    </tableStyle>
    <tableStyle count="2" pivot="0" name="March 29 - M3 1006-style 4">
      <tableStyleElement dxfId="1" type="firstRowStripe"/>
      <tableStyleElement dxfId="2" type="secondRowStripe"/>
    </tableStyle>
    <tableStyle count="2" pivot="0" name="March 30 - M3 1006-style">
      <tableStyleElement dxfId="1" type="firstRowStripe"/>
      <tableStyleElement dxfId="2" type="secondRowStripe"/>
    </tableStyle>
    <tableStyle count="2" pivot="0" name="March 30 - M3 1006-style 2">
      <tableStyleElement dxfId="2" type="firstRowStripe"/>
      <tableStyleElement dxfId="1" type="secondRowStripe"/>
    </tableStyle>
    <tableStyle count="2" pivot="0" name="March 30 - M3 1006-style 3">
      <tableStyleElement dxfId="2" type="firstRowStripe"/>
      <tableStyleElement dxfId="1" type="secondRowStripe"/>
    </tableStyle>
    <tableStyle count="4" pivot="0" name="By Name-style">
      <tableStyleElement dxfId="4" type="headerRow"/>
      <tableStyleElement dxfId="2" type="firstRowStripe"/>
      <tableStyleElement dxfId="1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7:B38" displayName="Table_1" name="Table_1" id="1">
  <tableColumns count="1">
    <tableColumn name="Column1" id="1"/>
  </tableColumns>
  <tableStyleInfo name="March 22 - RCH 301-style" showColumnStripes="0" showFirstColumn="1" showLastColumn="1" showRowStripes="1"/>
</table>
</file>

<file path=xl/tables/table2.xml><?xml version="1.0" encoding="utf-8"?>
<table xmlns="http://schemas.openxmlformats.org/spreadsheetml/2006/main" headerRowCount="0" ref="G17:G35" displayName="Table_2" name="Table_2" id="2">
  <tableColumns count="1">
    <tableColumn name="Column1" id="1"/>
  </tableColumns>
  <tableStyleInfo name="March 22 - RCH 301-style 2" showColumnStripes="0" showFirstColumn="1" showLastColumn="1" showRowStripes="1"/>
</table>
</file>

<file path=xl/tables/table3.xml><?xml version="1.0" encoding="utf-8"?>
<table xmlns="http://schemas.openxmlformats.org/spreadsheetml/2006/main" headerRowCount="0" ref="L17:L33" displayName="Table_3" name="Table_3" id="3">
  <tableColumns count="1">
    <tableColumn name="Column1" id="1"/>
  </tableColumns>
  <tableStyleInfo name="March 22 - RCH 301-style 3" showColumnStripes="0" showFirstColumn="1" showLastColumn="1" showRowStripes="1"/>
</table>
</file>

<file path=xl/tables/table4.xml><?xml version="1.0" encoding="utf-8"?>
<table xmlns="http://schemas.openxmlformats.org/spreadsheetml/2006/main" headerRowCount="0" ref="G36:G38" displayName="Table_4" name="Table_4" id="4">
  <tableColumns count="1">
    <tableColumn name="Column1" id="1"/>
  </tableColumns>
  <tableStyleInfo name="March 22 - RCH 301-style 4" showColumnStripes="0" showFirstColumn="1" showLastColumn="1" showRowStripes="1"/>
</table>
</file>

<file path=xl/tables/table5.xml><?xml version="1.0" encoding="utf-8"?>
<table xmlns="http://schemas.openxmlformats.org/spreadsheetml/2006/main" headerRowCount="0" ref="L67" displayName="Table_5" name="Table_5" id="5">
  <tableColumns count="1">
    <tableColumn name="Column1" id="1"/>
  </tableColumns>
  <tableStyleInfo name="March 22 - RCH 30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8:B37" displayName="Table_6" name="Table_6" id="6">
  <tableColumns count="1">
    <tableColumn name="Column1" id="1"/>
  </tableColumns>
  <tableStyleInfo name="March 23 - M3 1006-style" showColumnStripes="0" showFirstColumn="1" showLastColumn="1" showRowStripes="1"/>
</table>
</file>

<file path=xl/tables/table7.xml><?xml version="1.0" encoding="utf-8"?>
<table xmlns="http://schemas.openxmlformats.org/spreadsheetml/2006/main" headerRowCount="0" ref="G18:G93" displayName="Table_7" name="Table_7" id="7">
  <tableColumns count="1">
    <tableColumn name="Column1" id="1"/>
  </tableColumns>
  <tableStyleInfo name="March 23 - M3 1006-style 2" showColumnStripes="0" showFirstColumn="1" showLastColumn="1" showRowStripes="1"/>
</table>
</file>

<file path=xl/tables/table8.xml><?xml version="1.0" encoding="utf-8"?>
<table xmlns="http://schemas.openxmlformats.org/spreadsheetml/2006/main" headerRowCount="0" ref="L18:L34" displayName="Table_8" name="Table_8" id="8">
  <tableColumns count="1">
    <tableColumn name="Column1" id="1"/>
  </tableColumns>
  <tableStyleInfo name="March 23 - M3 1006-style 3" showColumnStripes="0" showFirstColumn="1" showLastColumn="1" showRowStripes="1"/>
</table>
</file>

<file path=xl/tables/table9.xml><?xml version="1.0" encoding="utf-8"?>
<table xmlns="http://schemas.openxmlformats.org/spreadsheetml/2006/main" headerRowCount="0" ref="B16:B36" displayName="Table_9" name="Table_9" id="9">
  <tableColumns count="1">
    <tableColumn name="Column1" id="1"/>
  </tableColumns>
  <tableStyleInfo name="March 29 - M3 1006-style" showColumnStripes="0" showFirstColumn="1" showLastColumn="1" showRowStripes="1"/>
</table>
</file>

<file path=xl/tables/table10.xml><?xml version="1.0" encoding="utf-8"?>
<table xmlns="http://schemas.openxmlformats.org/spreadsheetml/2006/main" headerRowCount="0" ref="G16:G37" displayName="Table_10" name="Table_10" id="10">
  <tableColumns count="1">
    <tableColumn name="Column1" id="1"/>
  </tableColumns>
  <tableStyleInfo name="March 29 - M3 1006-style 2" showColumnStripes="0" showFirstColumn="1" showLastColumn="1" showRowStripes="1"/>
</table>
</file>

<file path=xl/tables/table11.xml><?xml version="1.0" encoding="utf-8"?>
<table xmlns="http://schemas.openxmlformats.org/spreadsheetml/2006/main" headerRowCount="0" ref="L16:L35" displayName="Table_11" name="Table_11" id="11">
  <tableColumns count="1">
    <tableColumn name="Column1" id="1"/>
  </tableColumns>
  <tableStyleInfo name="March 29 - M3 1006-style 3" showColumnStripes="0" showFirstColumn="1" showLastColumn="1" showRowStripes="1"/>
</table>
</file>

<file path=xl/tables/table12.xml><?xml version="1.0" encoding="utf-8"?>
<table xmlns="http://schemas.openxmlformats.org/spreadsheetml/2006/main" headerRowCount="0" ref="G80" displayName="Table_12" name="Table_12" id="12">
  <tableColumns count="1">
    <tableColumn name="Column1" id="1"/>
  </tableColumns>
  <tableStyleInfo name="March 29 - M3 1006-style 4" showColumnStripes="0" showFirstColumn="1" showLastColumn="1" showRowStripes="1"/>
</table>
</file>

<file path=xl/tables/table13.xml><?xml version="1.0" encoding="utf-8"?>
<table xmlns="http://schemas.openxmlformats.org/spreadsheetml/2006/main" headerRowCount="0" ref="B17:B40" displayName="Table_13" name="Table_13" id="13">
  <tableColumns count="1">
    <tableColumn name="Column1" id="1"/>
  </tableColumns>
  <tableStyleInfo name="March 30 - M3 1006-style" showColumnStripes="0" showFirstColumn="1" showLastColumn="1" showRowStripes="1"/>
</table>
</file>

<file path=xl/tables/table14.xml><?xml version="1.0" encoding="utf-8"?>
<table xmlns="http://schemas.openxmlformats.org/spreadsheetml/2006/main" headerRowCount="0" ref="G17:G39" displayName="Table_14" name="Table_14" id="14">
  <tableColumns count="1">
    <tableColumn name="Column1" id="1"/>
  </tableColumns>
  <tableStyleInfo name="March 30 - M3 1006-style 2" showColumnStripes="0" showFirstColumn="1" showLastColumn="1" showRowStripes="1"/>
</table>
</file>

<file path=xl/tables/table15.xml><?xml version="1.0" encoding="utf-8"?>
<table xmlns="http://schemas.openxmlformats.org/spreadsheetml/2006/main" headerRowCount="0" ref="L17:L35" displayName="Table_15" name="Table_15" id="15">
  <tableColumns count="1">
    <tableColumn name="Column1" id="1"/>
  </tableColumns>
  <tableStyleInfo name="March 30 - M3 1006-style 3" showColumnStripes="0" showFirstColumn="1" showLastColumn="1" showRowStripes="1"/>
</table>
</file>

<file path=xl/tables/table16.xml><?xml version="1.0" encoding="utf-8"?>
<table xmlns="http://schemas.openxmlformats.org/spreadsheetml/2006/main" ref="A1:N219" displayName="Table1" name="Table1" id="16">
  <tableColumns count="14">
    <tableColumn name="Full Name" id="1"/>
    <tableColumn name="Count of shifts assigned" id="2"/>
    <tableColumn name="Saturday March 22nd, 9:00am - 1:00pm _x000a_RCH 301" id="3"/>
    <tableColumn name="Saturday March 22nd, 1:00pm - 5:00 pm_x000a_RCH 301" id="4"/>
    <tableColumn name="Saturday March 22nd, 5:00pm - 9:00pm _x000a_RCH 301" id="5"/>
    <tableColumn name="Sunday March 23rd, 9:00am - 1:00pm _x000a_M3 1006" id="6"/>
    <tableColumn name="Sunday March 23rd, 1:00pm - 5:00pm M3 1006" id="7"/>
    <tableColumn name="Sunday March 23rd, 5:00pm - 9:00pm _x000a_M3 1006" id="8"/>
    <tableColumn name="Saturday March 29th, 9:00am - 1:00pm M3 1006" id="9"/>
    <tableColumn name="Saturday March 29th, 1:00pm - 5:00pm _x000a_M3 1006" id="10"/>
    <tableColumn name="Saturday March 29th, 5:00pm - 9:00pm M3 1006" id="11"/>
    <tableColumn name="Sunday March 30th, 9:00am - 1:00pm _x000a_M3 1006" id="12"/>
    <tableColumn name="Sunday March 30th, 1:00pm - 5:00pm _x000a_M3 1006" id="13"/>
    <tableColumn name="Sunday March 30th, 5:00pm - 9:00pm _x000a_M3 1006" id="14"/>
  </tableColumns>
  <tableStyleInfo name="By Na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3.88"/>
    <col customWidth="1" min="3" max="3" width="18.0"/>
    <col customWidth="1" min="4" max="4" width="5.75"/>
    <col customWidth="1" min="6" max="6" width="21.38"/>
    <col customWidth="1" min="7" max="7" width="9.75"/>
    <col customWidth="1" min="8" max="8" width="18.0"/>
    <col customWidth="1" min="9" max="9" width="5.75"/>
    <col customWidth="1" min="11" max="11" width="21.38"/>
    <col customWidth="1" min="12" max="12" width="9.75"/>
    <col customWidth="1" min="13" max="13" width="16.38"/>
    <col customWidth="1" min="14" max="14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</row>
    <row r="2">
      <c r="A2" s="2" t="s">
        <v>4</v>
      </c>
      <c r="B2" s="2"/>
      <c r="C2" s="3"/>
      <c r="D2" s="4">
        <f>sum(D3:D82)</f>
        <v>68</v>
      </c>
      <c r="F2" s="5"/>
      <c r="H2" s="3"/>
      <c r="I2" s="4">
        <f>sum(I3:I82)</f>
        <v>66</v>
      </c>
      <c r="K2" s="5"/>
      <c r="M2" s="3"/>
      <c r="N2" s="4">
        <f>sum(N3:N82)</f>
        <v>52</v>
      </c>
    </row>
    <row r="3">
      <c r="A3" s="6" t="s">
        <v>5</v>
      </c>
      <c r="B3" s="2" t="s">
        <v>6</v>
      </c>
      <c r="C3" s="7" t="s">
        <v>7</v>
      </c>
      <c r="D3" s="5">
        <f>counta(B3:B4)</f>
        <v>2</v>
      </c>
      <c r="E3" s="5" t="s">
        <v>8</v>
      </c>
      <c r="F3" s="5" t="s">
        <v>9</v>
      </c>
      <c r="G3" s="8" t="s">
        <v>10</v>
      </c>
      <c r="H3" s="7" t="s">
        <v>7</v>
      </c>
      <c r="I3" s="5">
        <f>counta(G3:G5)</f>
        <v>2</v>
      </c>
      <c r="K3" s="5" t="s">
        <v>11</v>
      </c>
      <c r="L3" s="8" t="s">
        <v>6</v>
      </c>
      <c r="M3" s="7" t="s">
        <v>7</v>
      </c>
      <c r="N3" s="5">
        <f>counta(L3:L5)</f>
        <v>1</v>
      </c>
    </row>
    <row r="4">
      <c r="A4" s="6" t="s">
        <v>5</v>
      </c>
      <c r="B4" s="2" t="s">
        <v>12</v>
      </c>
      <c r="C4" s="9" t="s">
        <v>7</v>
      </c>
      <c r="E4" s="5" t="s">
        <v>8</v>
      </c>
      <c r="F4" s="5" t="s">
        <v>9</v>
      </c>
      <c r="G4" s="10" t="s">
        <v>13</v>
      </c>
      <c r="H4" s="11" t="s">
        <v>14</v>
      </c>
      <c r="L4" s="2"/>
      <c r="M4" s="12"/>
    </row>
    <row r="5">
      <c r="G5" s="12"/>
      <c r="H5" s="12"/>
      <c r="L5" s="12"/>
      <c r="M5" s="12"/>
    </row>
    <row r="6">
      <c r="A6" s="6"/>
      <c r="B6" s="2"/>
      <c r="C6" s="12"/>
      <c r="G6" s="2"/>
      <c r="H6" s="12"/>
      <c r="L6" s="12"/>
      <c r="M6" s="12"/>
    </row>
    <row r="7">
      <c r="A7" s="6"/>
      <c r="B7" s="2"/>
      <c r="C7" s="12"/>
      <c r="F7" s="5"/>
      <c r="G7" s="2"/>
      <c r="H7" s="12"/>
      <c r="K7" s="5"/>
      <c r="L7" s="2"/>
      <c r="M7" s="12"/>
    </row>
    <row r="8">
      <c r="A8" s="12"/>
      <c r="B8" s="2"/>
      <c r="C8" s="12"/>
      <c r="F8" s="5"/>
      <c r="G8" s="2"/>
      <c r="H8" s="12"/>
      <c r="K8" s="5"/>
      <c r="L8" s="2"/>
      <c r="M8" s="12"/>
    </row>
    <row r="9">
      <c r="A9" s="6" t="s">
        <v>5</v>
      </c>
      <c r="B9" s="2" t="s">
        <v>15</v>
      </c>
      <c r="C9" s="13" t="s">
        <v>16</v>
      </c>
      <c r="D9" s="5">
        <f>counta(B9:B15)</f>
        <v>7</v>
      </c>
      <c r="E9" s="5" t="s">
        <v>8</v>
      </c>
      <c r="F9" s="5" t="s">
        <v>9</v>
      </c>
      <c r="G9" s="2" t="s">
        <v>15</v>
      </c>
      <c r="H9" s="13" t="s">
        <v>16</v>
      </c>
      <c r="I9" s="5">
        <f>counta(G9:G15)</f>
        <v>7</v>
      </c>
      <c r="K9" s="5" t="s">
        <v>11</v>
      </c>
      <c r="L9" s="2" t="s">
        <v>15</v>
      </c>
      <c r="M9" s="13" t="s">
        <v>16</v>
      </c>
      <c r="N9" s="5">
        <f>counta(L9:L15)</f>
        <v>7</v>
      </c>
    </row>
    <row r="10">
      <c r="A10" s="6" t="s">
        <v>5</v>
      </c>
      <c r="B10" s="2" t="s">
        <v>17</v>
      </c>
      <c r="C10" s="13" t="s">
        <v>18</v>
      </c>
      <c r="E10" s="5" t="s">
        <v>8</v>
      </c>
      <c r="F10" s="5" t="s">
        <v>9</v>
      </c>
      <c r="G10" s="2" t="s">
        <v>17</v>
      </c>
      <c r="H10" s="13" t="s">
        <v>18</v>
      </c>
      <c r="K10" s="5" t="s">
        <v>11</v>
      </c>
      <c r="L10" s="2" t="s">
        <v>17</v>
      </c>
      <c r="M10" s="13" t="s">
        <v>18</v>
      </c>
    </row>
    <row r="11">
      <c r="A11" s="6" t="s">
        <v>5</v>
      </c>
      <c r="B11" s="2" t="s">
        <v>19</v>
      </c>
      <c r="C11" s="13" t="s">
        <v>20</v>
      </c>
      <c r="E11" s="5" t="s">
        <v>8</v>
      </c>
      <c r="F11" s="5" t="s">
        <v>9</v>
      </c>
      <c r="G11" s="2" t="s">
        <v>19</v>
      </c>
      <c r="H11" s="13" t="s">
        <v>20</v>
      </c>
      <c r="K11" s="5" t="s">
        <v>11</v>
      </c>
      <c r="L11" s="2" t="s">
        <v>19</v>
      </c>
      <c r="M11" s="13" t="s">
        <v>20</v>
      </c>
    </row>
    <row r="12">
      <c r="A12" s="6" t="s">
        <v>5</v>
      </c>
      <c r="B12" s="2" t="s">
        <v>21</v>
      </c>
      <c r="C12" s="13" t="s">
        <v>22</v>
      </c>
      <c r="E12" s="5" t="s">
        <v>8</v>
      </c>
      <c r="F12" s="5" t="s">
        <v>9</v>
      </c>
      <c r="G12" s="2" t="s">
        <v>21</v>
      </c>
      <c r="H12" s="13" t="s">
        <v>22</v>
      </c>
      <c r="K12" s="5" t="s">
        <v>11</v>
      </c>
      <c r="L12" s="2" t="s">
        <v>21</v>
      </c>
      <c r="M12" s="13" t="s">
        <v>22</v>
      </c>
    </row>
    <row r="13">
      <c r="A13" s="6" t="s">
        <v>5</v>
      </c>
      <c r="B13" s="2" t="s">
        <v>23</v>
      </c>
      <c r="C13" s="13" t="s">
        <v>24</v>
      </c>
      <c r="E13" s="5" t="s">
        <v>8</v>
      </c>
      <c r="F13" s="5" t="s">
        <v>9</v>
      </c>
      <c r="G13" s="2" t="s">
        <v>23</v>
      </c>
      <c r="H13" s="13" t="s">
        <v>24</v>
      </c>
      <c r="K13" s="5" t="s">
        <v>11</v>
      </c>
      <c r="L13" s="2" t="s">
        <v>23</v>
      </c>
      <c r="M13" s="13" t="s">
        <v>24</v>
      </c>
    </row>
    <row r="14">
      <c r="A14" s="6" t="s">
        <v>5</v>
      </c>
      <c r="B14" s="2" t="s">
        <v>25</v>
      </c>
      <c r="C14" s="13" t="s">
        <v>24</v>
      </c>
      <c r="E14" s="5" t="s">
        <v>8</v>
      </c>
      <c r="F14" s="5" t="s">
        <v>9</v>
      </c>
      <c r="G14" s="2" t="s">
        <v>25</v>
      </c>
      <c r="H14" s="13" t="s">
        <v>24</v>
      </c>
      <c r="K14" s="5" t="s">
        <v>11</v>
      </c>
      <c r="L14" s="2" t="s">
        <v>25</v>
      </c>
      <c r="M14" s="13" t="s">
        <v>24</v>
      </c>
    </row>
    <row r="15">
      <c r="A15" s="6" t="s">
        <v>5</v>
      </c>
      <c r="B15" s="2" t="s">
        <v>26</v>
      </c>
      <c r="C15" s="13" t="s">
        <v>24</v>
      </c>
      <c r="E15" s="5" t="s">
        <v>8</v>
      </c>
      <c r="F15" s="5"/>
      <c r="G15" s="2" t="s">
        <v>26</v>
      </c>
      <c r="H15" s="13" t="s">
        <v>24</v>
      </c>
      <c r="K15" s="5" t="s">
        <v>11</v>
      </c>
      <c r="L15" s="2" t="s">
        <v>26</v>
      </c>
      <c r="M15" s="13" t="s">
        <v>24</v>
      </c>
    </row>
    <row r="16">
      <c r="A16" s="12"/>
      <c r="B16" s="2"/>
      <c r="C16" s="12"/>
      <c r="G16" s="2"/>
      <c r="K16" s="5"/>
      <c r="M16" s="5"/>
    </row>
    <row r="17">
      <c r="A17" s="6" t="s">
        <v>5</v>
      </c>
      <c r="B17" s="2" t="s">
        <v>27</v>
      </c>
      <c r="C17" s="14" t="s">
        <v>28</v>
      </c>
      <c r="D17" s="5">
        <f>counta(B17:B36)</f>
        <v>20</v>
      </c>
      <c r="E17" s="5" t="s">
        <v>8</v>
      </c>
      <c r="F17" s="5" t="s">
        <v>9</v>
      </c>
      <c r="G17" s="15" t="s">
        <v>27</v>
      </c>
      <c r="H17" s="14" t="s">
        <v>28</v>
      </c>
      <c r="I17" s="5">
        <f>counta(G17:G36)</f>
        <v>19</v>
      </c>
      <c r="J17" s="5" t="s">
        <v>8</v>
      </c>
      <c r="K17" s="5" t="s">
        <v>11</v>
      </c>
      <c r="L17" s="15" t="s">
        <v>29</v>
      </c>
      <c r="M17" s="14" t="s">
        <v>30</v>
      </c>
      <c r="N17" s="5">
        <f>counta(L17:L36)</f>
        <v>17</v>
      </c>
    </row>
    <row r="18">
      <c r="A18" s="6" t="s">
        <v>5</v>
      </c>
      <c r="B18" s="2" t="s">
        <v>29</v>
      </c>
      <c r="C18" s="14" t="s">
        <v>30</v>
      </c>
      <c r="E18" s="5" t="s">
        <v>8</v>
      </c>
      <c r="F18" s="5" t="s">
        <v>9</v>
      </c>
      <c r="G18" s="16" t="s">
        <v>29</v>
      </c>
      <c r="H18" s="14" t="s">
        <v>30</v>
      </c>
      <c r="J18" s="5" t="s">
        <v>8</v>
      </c>
      <c r="K18" s="5" t="s">
        <v>11</v>
      </c>
      <c r="L18" s="15" t="s">
        <v>31</v>
      </c>
      <c r="M18" s="17" t="s">
        <v>28</v>
      </c>
    </row>
    <row r="19">
      <c r="A19" s="6" t="s">
        <v>5</v>
      </c>
      <c r="B19" s="2" t="s">
        <v>32</v>
      </c>
      <c r="C19" s="14" t="s">
        <v>28</v>
      </c>
      <c r="E19" s="5" t="s">
        <v>8</v>
      </c>
      <c r="F19" s="5" t="s">
        <v>9</v>
      </c>
      <c r="G19" s="15" t="s">
        <v>32</v>
      </c>
      <c r="H19" s="14" t="s">
        <v>30</v>
      </c>
      <c r="J19" s="5" t="s">
        <v>8</v>
      </c>
      <c r="K19" s="5" t="s">
        <v>11</v>
      </c>
      <c r="L19" s="15" t="s">
        <v>32</v>
      </c>
      <c r="M19" s="14" t="s">
        <v>30</v>
      </c>
    </row>
    <row r="20">
      <c r="A20" s="6" t="s">
        <v>5</v>
      </c>
      <c r="B20" s="2" t="s">
        <v>33</v>
      </c>
      <c r="C20" s="14" t="s">
        <v>28</v>
      </c>
      <c r="E20" s="5" t="s">
        <v>8</v>
      </c>
      <c r="F20" s="5" t="s">
        <v>9</v>
      </c>
      <c r="G20" s="15" t="s">
        <v>33</v>
      </c>
      <c r="H20" s="14" t="s">
        <v>28</v>
      </c>
      <c r="J20" s="5" t="s">
        <v>8</v>
      </c>
      <c r="K20" s="5" t="s">
        <v>34</v>
      </c>
      <c r="L20" s="15" t="s">
        <v>33</v>
      </c>
      <c r="M20" s="18" t="s">
        <v>28</v>
      </c>
    </row>
    <row r="21">
      <c r="A21" s="6" t="s">
        <v>5</v>
      </c>
      <c r="B21" s="2" t="s">
        <v>35</v>
      </c>
      <c r="C21" s="14" t="s">
        <v>28</v>
      </c>
      <c r="E21" s="5" t="s">
        <v>8</v>
      </c>
      <c r="F21" s="5" t="s">
        <v>9</v>
      </c>
      <c r="G21" s="19" t="s">
        <v>35</v>
      </c>
      <c r="H21" s="14" t="s">
        <v>28</v>
      </c>
      <c r="J21" s="5" t="s">
        <v>8</v>
      </c>
      <c r="K21" s="5" t="s">
        <v>34</v>
      </c>
      <c r="L21" s="15" t="s">
        <v>35</v>
      </c>
      <c r="M21" s="18" t="s">
        <v>28</v>
      </c>
      <c r="P21" s="6"/>
    </row>
    <row r="22">
      <c r="A22" s="6" t="s">
        <v>5</v>
      </c>
      <c r="B22" s="2" t="s">
        <v>36</v>
      </c>
      <c r="C22" s="14" t="s">
        <v>28</v>
      </c>
      <c r="E22" s="5" t="s">
        <v>8</v>
      </c>
      <c r="F22" s="5" t="s">
        <v>9</v>
      </c>
      <c r="G22" s="20"/>
      <c r="H22" s="14"/>
      <c r="K22" s="5" t="s">
        <v>34</v>
      </c>
      <c r="L22" s="19" t="s">
        <v>37</v>
      </c>
      <c r="M22" s="14" t="s">
        <v>30</v>
      </c>
      <c r="P22" s="6"/>
    </row>
    <row r="23">
      <c r="A23" s="6" t="s">
        <v>5</v>
      </c>
      <c r="B23" s="2" t="s">
        <v>37</v>
      </c>
      <c r="C23" s="14" t="s">
        <v>30</v>
      </c>
      <c r="E23" s="5" t="s">
        <v>8</v>
      </c>
      <c r="F23" s="5" t="s">
        <v>9</v>
      </c>
      <c r="G23" s="20" t="s">
        <v>36</v>
      </c>
      <c r="H23" s="14" t="s">
        <v>28</v>
      </c>
      <c r="J23" s="5" t="s">
        <v>8</v>
      </c>
      <c r="K23" s="5" t="s">
        <v>34</v>
      </c>
      <c r="L23" s="16" t="s">
        <v>38</v>
      </c>
      <c r="M23" s="18" t="s">
        <v>28</v>
      </c>
    </row>
    <row r="24">
      <c r="A24" s="6" t="s">
        <v>5</v>
      </c>
      <c r="B24" s="2" t="s">
        <v>38</v>
      </c>
      <c r="C24" s="14" t="s">
        <v>28</v>
      </c>
      <c r="E24" s="5" t="s">
        <v>8</v>
      </c>
      <c r="F24" s="5" t="s">
        <v>9</v>
      </c>
      <c r="G24" s="21" t="s">
        <v>39</v>
      </c>
      <c r="H24" s="14" t="s">
        <v>28</v>
      </c>
      <c r="J24" s="5" t="s">
        <v>8</v>
      </c>
      <c r="K24" s="5" t="s">
        <v>34</v>
      </c>
      <c r="L24" s="15" t="s">
        <v>40</v>
      </c>
      <c r="M24" s="14" t="s">
        <v>28</v>
      </c>
    </row>
    <row r="25">
      <c r="A25" s="6" t="s">
        <v>5</v>
      </c>
      <c r="B25" s="2" t="s">
        <v>41</v>
      </c>
      <c r="C25" s="14" t="s">
        <v>28</v>
      </c>
      <c r="E25" s="5" t="s">
        <v>8</v>
      </c>
      <c r="F25" s="5" t="s">
        <v>9</v>
      </c>
      <c r="G25" s="15" t="s">
        <v>41</v>
      </c>
      <c r="H25" s="14" t="s">
        <v>28</v>
      </c>
      <c r="J25" s="22" t="s">
        <v>8</v>
      </c>
      <c r="K25" s="5" t="s">
        <v>34</v>
      </c>
      <c r="L25" s="16" t="s">
        <v>13</v>
      </c>
      <c r="M25" s="17" t="s">
        <v>28</v>
      </c>
    </row>
    <row r="26">
      <c r="A26" s="6" t="s">
        <v>5</v>
      </c>
      <c r="B26" s="2" t="s">
        <v>42</v>
      </c>
      <c r="C26" s="14" t="s">
        <v>28</v>
      </c>
      <c r="E26" s="5" t="s">
        <v>8</v>
      </c>
      <c r="F26" s="5" t="s">
        <v>9</v>
      </c>
      <c r="G26" s="23" t="s">
        <v>40</v>
      </c>
      <c r="H26" s="14" t="s">
        <v>28</v>
      </c>
      <c r="J26" s="5" t="s">
        <v>8</v>
      </c>
      <c r="K26" s="5" t="s">
        <v>34</v>
      </c>
      <c r="L26" s="21" t="s">
        <v>43</v>
      </c>
      <c r="M26" s="24" t="s">
        <v>28</v>
      </c>
    </row>
    <row r="27">
      <c r="A27" s="6" t="s">
        <v>5</v>
      </c>
      <c r="B27" s="2" t="s">
        <v>44</v>
      </c>
      <c r="C27" s="14" t="s">
        <v>28</v>
      </c>
      <c r="E27" s="5" t="s">
        <v>8</v>
      </c>
      <c r="F27" s="5" t="s">
        <v>9</v>
      </c>
      <c r="G27" s="15" t="s">
        <v>42</v>
      </c>
      <c r="H27" s="14" t="s">
        <v>28</v>
      </c>
      <c r="J27" s="5" t="s">
        <v>8</v>
      </c>
      <c r="K27" s="5" t="s">
        <v>34</v>
      </c>
      <c r="L27" s="25" t="s">
        <v>45</v>
      </c>
      <c r="M27" s="17" t="s">
        <v>28</v>
      </c>
    </row>
    <row r="28">
      <c r="A28" s="6" t="s">
        <v>5</v>
      </c>
      <c r="B28" s="2" t="s">
        <v>13</v>
      </c>
      <c r="C28" s="14" t="s">
        <v>28</v>
      </c>
      <c r="E28" s="5" t="s">
        <v>8</v>
      </c>
      <c r="F28" s="5" t="s">
        <v>9</v>
      </c>
      <c r="G28" s="15" t="s">
        <v>44</v>
      </c>
      <c r="H28" s="14" t="s">
        <v>28</v>
      </c>
      <c r="K28" s="5" t="s">
        <v>34</v>
      </c>
      <c r="L28" s="25" t="s">
        <v>46</v>
      </c>
      <c r="M28" s="17" t="s">
        <v>28</v>
      </c>
    </row>
    <row r="29">
      <c r="A29" s="6" t="s">
        <v>5</v>
      </c>
      <c r="B29" s="2" t="s">
        <v>47</v>
      </c>
      <c r="C29" s="14" t="s">
        <v>28</v>
      </c>
      <c r="E29" s="5" t="s">
        <v>8</v>
      </c>
      <c r="F29" s="5" t="s">
        <v>9</v>
      </c>
      <c r="G29" s="15" t="s">
        <v>47</v>
      </c>
      <c r="H29" s="14" t="s">
        <v>28</v>
      </c>
      <c r="J29" s="5" t="s">
        <v>8</v>
      </c>
      <c r="K29" s="5" t="s">
        <v>34</v>
      </c>
      <c r="L29" s="26" t="s">
        <v>48</v>
      </c>
      <c r="M29" s="17" t="s">
        <v>28</v>
      </c>
    </row>
    <row r="30">
      <c r="A30" s="6" t="s">
        <v>5</v>
      </c>
      <c r="B30" s="2" t="s">
        <v>49</v>
      </c>
      <c r="C30" s="14" t="s">
        <v>28</v>
      </c>
      <c r="E30" s="5" t="s">
        <v>8</v>
      </c>
      <c r="F30" s="5" t="s">
        <v>9</v>
      </c>
      <c r="G30" s="27" t="s">
        <v>49</v>
      </c>
      <c r="H30" s="14" t="s">
        <v>28</v>
      </c>
      <c r="K30" s="5" t="s">
        <v>34</v>
      </c>
      <c r="L30" s="28" t="s">
        <v>50</v>
      </c>
      <c r="M30" s="17" t="s">
        <v>28</v>
      </c>
    </row>
    <row r="31">
      <c r="A31" s="6" t="s">
        <v>5</v>
      </c>
      <c r="B31" s="2" t="s">
        <v>43</v>
      </c>
      <c r="C31" s="14" t="s">
        <v>28</v>
      </c>
      <c r="E31" s="5" t="s">
        <v>8</v>
      </c>
      <c r="F31" s="5" t="s">
        <v>9</v>
      </c>
      <c r="G31" s="27" t="s">
        <v>43</v>
      </c>
      <c r="H31" s="14" t="s">
        <v>28</v>
      </c>
      <c r="J31" s="5" t="s">
        <v>8</v>
      </c>
      <c r="K31" s="5" t="s">
        <v>34</v>
      </c>
      <c r="L31" s="25" t="s">
        <v>51</v>
      </c>
      <c r="M31" s="14" t="s">
        <v>30</v>
      </c>
    </row>
    <row r="32">
      <c r="A32" s="6" t="s">
        <v>5</v>
      </c>
      <c r="B32" s="2" t="s">
        <v>45</v>
      </c>
      <c r="C32" s="14" t="s">
        <v>28</v>
      </c>
      <c r="E32" s="5" t="s">
        <v>8</v>
      </c>
      <c r="F32" s="5" t="s">
        <v>9</v>
      </c>
      <c r="G32" s="27" t="s">
        <v>45</v>
      </c>
      <c r="H32" s="14" t="s">
        <v>28</v>
      </c>
      <c r="J32" s="5" t="s">
        <v>8</v>
      </c>
      <c r="K32" s="5" t="s">
        <v>34</v>
      </c>
      <c r="L32" s="25" t="s">
        <v>52</v>
      </c>
      <c r="M32" s="14" t="s">
        <v>28</v>
      </c>
    </row>
    <row r="33">
      <c r="A33" s="6" t="s">
        <v>5</v>
      </c>
      <c r="B33" s="2" t="s">
        <v>46</v>
      </c>
      <c r="C33" s="14" t="s">
        <v>28</v>
      </c>
      <c r="E33" s="5" t="s">
        <v>8</v>
      </c>
      <c r="F33" s="5" t="s">
        <v>9</v>
      </c>
      <c r="G33" s="25" t="s">
        <v>46</v>
      </c>
      <c r="H33" s="14" t="s">
        <v>28</v>
      </c>
      <c r="J33" s="5" t="s">
        <v>8</v>
      </c>
      <c r="K33" s="5" t="s">
        <v>34</v>
      </c>
      <c r="L33" s="27" t="s">
        <v>53</v>
      </c>
      <c r="M33" s="17" t="s">
        <v>28</v>
      </c>
    </row>
    <row r="34">
      <c r="A34" s="6" t="s">
        <v>5</v>
      </c>
      <c r="B34" s="2" t="s">
        <v>54</v>
      </c>
      <c r="C34" s="14" t="s">
        <v>28</v>
      </c>
      <c r="E34" s="5" t="s">
        <v>8</v>
      </c>
      <c r="F34" s="5" t="s">
        <v>9</v>
      </c>
      <c r="G34" s="25" t="s">
        <v>48</v>
      </c>
      <c r="H34" s="14" t="s">
        <v>28</v>
      </c>
      <c r="J34" s="5" t="s">
        <v>8</v>
      </c>
    </row>
    <row r="35">
      <c r="A35" s="6" t="s">
        <v>5</v>
      </c>
      <c r="B35" s="2" t="s">
        <v>51</v>
      </c>
      <c r="C35" s="14" t="s">
        <v>30</v>
      </c>
      <c r="E35" s="5" t="s">
        <v>8</v>
      </c>
      <c r="F35" s="5" t="s">
        <v>9</v>
      </c>
      <c r="G35" s="25" t="s">
        <v>51</v>
      </c>
      <c r="H35" s="14" t="s">
        <v>30</v>
      </c>
      <c r="J35" s="5" t="s">
        <v>8</v>
      </c>
    </row>
    <row r="36">
      <c r="A36" s="6" t="s">
        <v>5</v>
      </c>
      <c r="B36" s="2" t="s">
        <v>55</v>
      </c>
      <c r="C36" s="14" t="s">
        <v>28</v>
      </c>
      <c r="E36" s="5" t="s">
        <v>8</v>
      </c>
      <c r="F36" s="5" t="s">
        <v>9</v>
      </c>
      <c r="G36" s="21" t="s">
        <v>55</v>
      </c>
      <c r="H36" s="14" t="s">
        <v>28</v>
      </c>
      <c r="J36" s="5" t="s">
        <v>8</v>
      </c>
    </row>
    <row r="37">
      <c r="A37" s="4" t="str">
        <f t="shared" ref="A37:A38" si="1">A36</f>
        <v>9:00am - 1:00pm </v>
      </c>
      <c r="B37" s="29" t="s">
        <v>56</v>
      </c>
      <c r="C37" s="30" t="s">
        <v>28</v>
      </c>
      <c r="E37" s="5" t="s">
        <v>8</v>
      </c>
      <c r="F37" s="4" t="str">
        <f>F36</f>
        <v>1:00pm - 5:00pm </v>
      </c>
      <c r="G37" s="29" t="s">
        <v>57</v>
      </c>
      <c r="H37" s="30" t="s">
        <v>28</v>
      </c>
      <c r="J37" s="5" t="s">
        <v>8</v>
      </c>
    </row>
    <row r="38">
      <c r="A38" s="4" t="str">
        <f t="shared" si="1"/>
        <v>9:00am - 1:00pm </v>
      </c>
      <c r="B38" s="29" t="s">
        <v>57</v>
      </c>
      <c r="C38" s="30" t="s">
        <v>28</v>
      </c>
      <c r="E38" s="5" t="s">
        <v>8</v>
      </c>
      <c r="F38" s="6" t="s">
        <v>5</v>
      </c>
      <c r="G38" s="2" t="s">
        <v>37</v>
      </c>
      <c r="H38" s="14" t="s">
        <v>30</v>
      </c>
      <c r="J38" s="5" t="s">
        <v>8</v>
      </c>
    </row>
    <row r="40">
      <c r="A40" s="5" t="s">
        <v>5</v>
      </c>
      <c r="B40" s="2" t="s">
        <v>58</v>
      </c>
      <c r="C40" s="31" t="s">
        <v>59</v>
      </c>
      <c r="D40" s="5">
        <f>counta(B40:B94)</f>
        <v>39</v>
      </c>
      <c r="E40" s="5" t="s">
        <v>8</v>
      </c>
      <c r="F40" s="5" t="s">
        <v>9</v>
      </c>
      <c r="G40" s="2" t="s">
        <v>58</v>
      </c>
      <c r="H40" s="31" t="s">
        <v>59</v>
      </c>
      <c r="I40" s="5">
        <f>counta(G40:G94)</f>
        <v>38</v>
      </c>
      <c r="K40" s="5" t="s">
        <v>11</v>
      </c>
      <c r="L40" s="32" t="s">
        <v>60</v>
      </c>
      <c r="M40" s="31" t="s">
        <v>59</v>
      </c>
      <c r="N40" s="5">
        <f>counta(L40:L94)</f>
        <v>27</v>
      </c>
    </row>
    <row r="41">
      <c r="A41" s="5" t="s">
        <v>5</v>
      </c>
      <c r="B41" s="2" t="s">
        <v>61</v>
      </c>
      <c r="C41" s="31" t="s">
        <v>59</v>
      </c>
      <c r="E41" s="5" t="s">
        <v>8</v>
      </c>
      <c r="F41" s="5" t="s">
        <v>9</v>
      </c>
      <c r="G41" s="2" t="s">
        <v>62</v>
      </c>
      <c r="H41" s="31" t="s">
        <v>59</v>
      </c>
      <c r="L41" s="2"/>
      <c r="M41" s="31"/>
    </row>
    <row r="42">
      <c r="A42" s="5" t="s">
        <v>5</v>
      </c>
      <c r="B42" s="2" t="s">
        <v>63</v>
      </c>
      <c r="C42" s="31" t="s">
        <v>59</v>
      </c>
      <c r="E42" s="5" t="s">
        <v>8</v>
      </c>
      <c r="F42" s="5" t="s">
        <v>9</v>
      </c>
      <c r="G42" s="2" t="s">
        <v>61</v>
      </c>
      <c r="H42" s="31" t="s">
        <v>59</v>
      </c>
      <c r="K42" s="5" t="s">
        <v>11</v>
      </c>
      <c r="L42" s="2" t="s">
        <v>64</v>
      </c>
      <c r="M42" s="31" t="s">
        <v>59</v>
      </c>
    </row>
    <row r="43">
      <c r="A43" s="5" t="s">
        <v>5</v>
      </c>
      <c r="B43" s="2" t="s">
        <v>65</v>
      </c>
      <c r="C43" s="31" t="s">
        <v>59</v>
      </c>
      <c r="E43" s="5" t="s">
        <v>8</v>
      </c>
      <c r="F43" s="5" t="s">
        <v>9</v>
      </c>
      <c r="G43" s="2"/>
      <c r="H43" s="31" t="s">
        <v>59</v>
      </c>
      <c r="K43" s="5" t="s">
        <v>11</v>
      </c>
      <c r="L43" s="2" t="s">
        <v>61</v>
      </c>
      <c r="M43" s="31" t="s">
        <v>59</v>
      </c>
    </row>
    <row r="44">
      <c r="A44" s="5" t="s">
        <v>5</v>
      </c>
      <c r="B44" s="2" t="s">
        <v>66</v>
      </c>
      <c r="C44" s="31" t="s">
        <v>59</v>
      </c>
      <c r="E44" s="5" t="s">
        <v>8</v>
      </c>
      <c r="F44" s="5" t="s">
        <v>9</v>
      </c>
      <c r="G44" s="2" t="s">
        <v>65</v>
      </c>
      <c r="H44" s="31" t="s">
        <v>59</v>
      </c>
      <c r="K44" s="5" t="s">
        <v>11</v>
      </c>
      <c r="L44" s="2"/>
      <c r="M44" s="31" t="s">
        <v>59</v>
      </c>
    </row>
    <row r="45">
      <c r="A45" s="5" t="s">
        <v>5</v>
      </c>
      <c r="B45" s="2" t="s">
        <v>67</v>
      </c>
      <c r="C45" s="31" t="s">
        <v>59</v>
      </c>
      <c r="E45" s="5" t="s">
        <v>8</v>
      </c>
      <c r="F45" s="5" t="s">
        <v>9</v>
      </c>
      <c r="G45" s="2" t="s">
        <v>68</v>
      </c>
      <c r="H45" s="31" t="s">
        <v>59</v>
      </c>
      <c r="K45" s="5" t="s">
        <v>11</v>
      </c>
      <c r="L45" s="2" t="s">
        <v>65</v>
      </c>
      <c r="M45" s="31" t="s">
        <v>59</v>
      </c>
    </row>
    <row r="46">
      <c r="A46" s="5" t="s">
        <v>5</v>
      </c>
      <c r="B46" s="5" t="s">
        <v>69</v>
      </c>
      <c r="C46" s="31" t="s">
        <v>59</v>
      </c>
      <c r="E46" s="5" t="s">
        <v>8</v>
      </c>
      <c r="F46" s="5" t="s">
        <v>9</v>
      </c>
      <c r="G46" s="2" t="s">
        <v>66</v>
      </c>
      <c r="H46" s="31" t="s">
        <v>59</v>
      </c>
      <c r="J46" s="5" t="s">
        <v>8</v>
      </c>
      <c r="K46" s="5" t="s">
        <v>11</v>
      </c>
      <c r="L46" s="2" t="s">
        <v>66</v>
      </c>
      <c r="M46" s="31" t="s">
        <v>59</v>
      </c>
    </row>
    <row r="47">
      <c r="A47" s="5" t="s">
        <v>5</v>
      </c>
      <c r="B47" s="2" t="s">
        <v>70</v>
      </c>
      <c r="C47" s="31" t="s">
        <v>59</v>
      </c>
      <c r="E47" s="5" t="s">
        <v>8</v>
      </c>
      <c r="F47" s="5" t="s">
        <v>9</v>
      </c>
      <c r="G47" s="2" t="s">
        <v>71</v>
      </c>
      <c r="H47" s="31" t="s">
        <v>59</v>
      </c>
      <c r="K47" s="5" t="s">
        <v>11</v>
      </c>
      <c r="L47" s="2" t="s">
        <v>72</v>
      </c>
      <c r="M47" s="31" t="s">
        <v>59</v>
      </c>
    </row>
    <row r="48">
      <c r="A48" s="5" t="s">
        <v>5</v>
      </c>
      <c r="B48" s="2" t="s">
        <v>73</v>
      </c>
      <c r="C48" s="31" t="s">
        <v>59</v>
      </c>
      <c r="E48" s="5" t="s">
        <v>8</v>
      </c>
      <c r="F48" s="5" t="s">
        <v>9</v>
      </c>
      <c r="G48" s="2" t="s">
        <v>69</v>
      </c>
      <c r="H48" s="31" t="s">
        <v>59</v>
      </c>
      <c r="M48" s="31"/>
    </row>
    <row r="49">
      <c r="A49" s="5" t="s">
        <v>5</v>
      </c>
      <c r="B49" s="2" t="s">
        <v>74</v>
      </c>
      <c r="C49" s="31" t="s">
        <v>59</v>
      </c>
      <c r="E49" s="5" t="s">
        <v>8</v>
      </c>
      <c r="F49" s="5" t="s">
        <v>9</v>
      </c>
      <c r="G49" s="2" t="s">
        <v>70</v>
      </c>
      <c r="H49" s="31" t="s">
        <v>59</v>
      </c>
      <c r="J49" s="5" t="s">
        <v>8</v>
      </c>
      <c r="K49" s="5" t="s">
        <v>11</v>
      </c>
      <c r="L49" s="2" t="s">
        <v>75</v>
      </c>
      <c r="M49" s="31" t="s">
        <v>59</v>
      </c>
    </row>
    <row r="50">
      <c r="A50" s="5" t="s">
        <v>5</v>
      </c>
      <c r="B50" s="2" t="s">
        <v>76</v>
      </c>
      <c r="C50" s="31" t="s">
        <v>59</v>
      </c>
      <c r="E50" s="5" t="s">
        <v>8</v>
      </c>
      <c r="F50" s="5" t="s">
        <v>9</v>
      </c>
      <c r="G50" s="2" t="s">
        <v>73</v>
      </c>
      <c r="H50" s="31" t="s">
        <v>59</v>
      </c>
      <c r="K50" s="5" t="s">
        <v>11</v>
      </c>
      <c r="L50" s="2" t="s">
        <v>77</v>
      </c>
      <c r="M50" s="31" t="s">
        <v>59</v>
      </c>
    </row>
    <row r="51">
      <c r="A51" s="5" t="s">
        <v>5</v>
      </c>
      <c r="B51" s="2" t="s">
        <v>78</v>
      </c>
      <c r="C51" s="31" t="s">
        <v>59</v>
      </c>
      <c r="E51" s="5" t="s">
        <v>8</v>
      </c>
      <c r="F51" s="5" t="s">
        <v>9</v>
      </c>
      <c r="G51" s="2" t="s">
        <v>74</v>
      </c>
      <c r="H51" s="31" t="s">
        <v>59</v>
      </c>
      <c r="K51" s="5" t="s">
        <v>11</v>
      </c>
      <c r="L51" s="2" t="s">
        <v>79</v>
      </c>
      <c r="M51" s="31" t="s">
        <v>59</v>
      </c>
    </row>
    <row r="52">
      <c r="A52" s="5" t="s">
        <v>5</v>
      </c>
      <c r="B52" s="2" t="s">
        <v>80</v>
      </c>
      <c r="C52" s="31" t="s">
        <v>59</v>
      </c>
      <c r="E52" s="5" t="s">
        <v>8</v>
      </c>
      <c r="F52" s="5" t="s">
        <v>9</v>
      </c>
      <c r="G52" s="33" t="s">
        <v>76</v>
      </c>
      <c r="H52" s="31" t="s">
        <v>59</v>
      </c>
      <c r="K52" s="5" t="s">
        <v>11</v>
      </c>
      <c r="L52" s="2"/>
      <c r="M52" s="31"/>
    </row>
    <row r="53">
      <c r="A53" s="5" t="s">
        <v>5</v>
      </c>
      <c r="B53" s="2" t="s">
        <v>81</v>
      </c>
      <c r="C53" s="31" t="s">
        <v>59</v>
      </c>
      <c r="E53" s="5" t="s">
        <v>8</v>
      </c>
      <c r="F53" s="5" t="s">
        <v>9</v>
      </c>
      <c r="G53" s="2" t="s">
        <v>78</v>
      </c>
      <c r="H53" s="31" t="s">
        <v>59</v>
      </c>
      <c r="J53" s="5" t="s">
        <v>8</v>
      </c>
      <c r="K53" s="5" t="s">
        <v>11</v>
      </c>
      <c r="L53" s="2" t="s">
        <v>82</v>
      </c>
      <c r="M53" s="31" t="s">
        <v>59</v>
      </c>
    </row>
    <row r="54">
      <c r="A54" s="5" t="s">
        <v>5</v>
      </c>
      <c r="B54" s="2" t="s">
        <v>75</v>
      </c>
      <c r="C54" s="31" t="s">
        <v>59</v>
      </c>
      <c r="E54" s="5" t="s">
        <v>8</v>
      </c>
      <c r="G54" s="2" t="s">
        <v>81</v>
      </c>
      <c r="H54" s="31" t="s">
        <v>59</v>
      </c>
      <c r="J54" s="5" t="s">
        <v>8</v>
      </c>
      <c r="K54" s="5" t="s">
        <v>11</v>
      </c>
      <c r="L54" s="2" t="s">
        <v>83</v>
      </c>
      <c r="M54" s="31" t="s">
        <v>59</v>
      </c>
    </row>
    <row r="55">
      <c r="A55" s="5" t="s">
        <v>5</v>
      </c>
      <c r="B55" s="2" t="s">
        <v>84</v>
      </c>
      <c r="C55" s="31" t="s">
        <v>59</v>
      </c>
      <c r="E55" s="5" t="s">
        <v>8</v>
      </c>
      <c r="F55" s="5" t="s">
        <v>9</v>
      </c>
      <c r="G55" s="2" t="s">
        <v>75</v>
      </c>
      <c r="H55" s="31" t="s">
        <v>59</v>
      </c>
      <c r="K55" s="5" t="s">
        <v>11</v>
      </c>
      <c r="L55" s="2" t="s">
        <v>85</v>
      </c>
      <c r="M55" s="31" t="s">
        <v>59</v>
      </c>
    </row>
    <row r="56">
      <c r="A56" s="5" t="s">
        <v>5</v>
      </c>
      <c r="B56" s="2" t="s">
        <v>86</v>
      </c>
      <c r="C56" s="31" t="s">
        <v>59</v>
      </c>
      <c r="F56" s="5" t="s">
        <v>9</v>
      </c>
      <c r="G56" s="2" t="s">
        <v>86</v>
      </c>
      <c r="H56" s="31" t="s">
        <v>59</v>
      </c>
      <c r="K56" s="5" t="s">
        <v>11</v>
      </c>
      <c r="L56" s="2" t="s">
        <v>87</v>
      </c>
      <c r="M56" s="31" t="s">
        <v>59</v>
      </c>
    </row>
    <row r="57">
      <c r="A57" s="5" t="s">
        <v>5</v>
      </c>
      <c r="B57" s="2" t="s">
        <v>79</v>
      </c>
      <c r="C57" s="31" t="s">
        <v>59</v>
      </c>
      <c r="E57" s="5" t="s">
        <v>8</v>
      </c>
      <c r="F57" s="6" t="s">
        <v>9</v>
      </c>
      <c r="G57" s="2" t="s">
        <v>79</v>
      </c>
      <c r="H57" s="31" t="s">
        <v>59</v>
      </c>
      <c r="K57" s="5" t="s">
        <v>11</v>
      </c>
      <c r="L57" s="5" t="s">
        <v>88</v>
      </c>
      <c r="M57" s="31" t="s">
        <v>59</v>
      </c>
    </row>
    <row r="58">
      <c r="A58" s="5" t="s">
        <v>5</v>
      </c>
      <c r="B58" s="2" t="s">
        <v>83</v>
      </c>
      <c r="C58" s="31" t="s">
        <v>59</v>
      </c>
      <c r="E58" s="5" t="s">
        <v>8</v>
      </c>
      <c r="F58" s="6" t="s">
        <v>9</v>
      </c>
      <c r="G58" s="2"/>
      <c r="H58" s="31"/>
      <c r="K58" s="5" t="s">
        <v>11</v>
      </c>
      <c r="L58" s="2" t="s">
        <v>10</v>
      </c>
      <c r="M58" s="31" t="s">
        <v>59</v>
      </c>
    </row>
    <row r="59">
      <c r="A59" s="5" t="s">
        <v>5</v>
      </c>
      <c r="B59" s="22" t="s">
        <v>89</v>
      </c>
      <c r="C59" s="31" t="s">
        <v>59</v>
      </c>
      <c r="E59" s="5" t="s">
        <v>8</v>
      </c>
      <c r="F59" s="6" t="s">
        <v>9</v>
      </c>
      <c r="G59" s="2" t="s">
        <v>82</v>
      </c>
      <c r="H59" s="31" t="s">
        <v>59</v>
      </c>
      <c r="K59" s="5" t="s">
        <v>11</v>
      </c>
      <c r="L59" s="5" t="s">
        <v>90</v>
      </c>
      <c r="M59" s="31" t="s">
        <v>59</v>
      </c>
    </row>
    <row r="60">
      <c r="A60" s="5" t="s">
        <v>5</v>
      </c>
      <c r="B60" s="2" t="s">
        <v>85</v>
      </c>
      <c r="C60" s="31" t="s">
        <v>59</v>
      </c>
      <c r="E60" s="5" t="s">
        <v>8</v>
      </c>
      <c r="F60" s="6" t="s">
        <v>9</v>
      </c>
      <c r="G60" s="2" t="s">
        <v>83</v>
      </c>
      <c r="H60" s="31" t="s">
        <v>59</v>
      </c>
      <c r="K60" s="5" t="s">
        <v>11</v>
      </c>
      <c r="L60" s="2" t="s">
        <v>91</v>
      </c>
      <c r="M60" s="31" t="s">
        <v>59</v>
      </c>
    </row>
    <row r="61">
      <c r="A61" s="5" t="s">
        <v>5</v>
      </c>
      <c r="B61" s="5" t="s">
        <v>88</v>
      </c>
      <c r="C61" s="31" t="s">
        <v>59</v>
      </c>
      <c r="E61" s="5" t="s">
        <v>8</v>
      </c>
      <c r="F61" s="6" t="s">
        <v>9</v>
      </c>
      <c r="G61" s="2" t="s">
        <v>85</v>
      </c>
      <c r="H61" s="31" t="s">
        <v>59</v>
      </c>
      <c r="K61" s="5" t="s">
        <v>11</v>
      </c>
      <c r="L61" s="29" t="s">
        <v>78</v>
      </c>
      <c r="M61" s="31" t="s">
        <v>59</v>
      </c>
    </row>
    <row r="62">
      <c r="A62" s="5" t="s">
        <v>5</v>
      </c>
      <c r="B62" s="33" t="s">
        <v>92</v>
      </c>
      <c r="C62" s="31" t="s">
        <v>59</v>
      </c>
      <c r="F62" s="6"/>
      <c r="G62" s="5" t="s">
        <v>90</v>
      </c>
      <c r="H62" s="31" t="s">
        <v>59</v>
      </c>
      <c r="K62" s="5" t="s">
        <v>11</v>
      </c>
      <c r="L62" s="2" t="s">
        <v>93</v>
      </c>
      <c r="M62" s="31" t="s">
        <v>59</v>
      </c>
    </row>
    <row r="63">
      <c r="A63" s="5" t="s">
        <v>5</v>
      </c>
      <c r="B63" s="2" t="s">
        <v>10</v>
      </c>
      <c r="C63" s="34" t="s">
        <v>59</v>
      </c>
      <c r="E63" s="5" t="s">
        <v>8</v>
      </c>
      <c r="F63" s="5" t="s">
        <v>9</v>
      </c>
      <c r="G63" s="2" t="s">
        <v>91</v>
      </c>
      <c r="H63" s="31" t="s">
        <v>59</v>
      </c>
      <c r="K63" s="5" t="s">
        <v>11</v>
      </c>
      <c r="L63" s="2" t="s">
        <v>94</v>
      </c>
      <c r="M63" s="31" t="s">
        <v>59</v>
      </c>
    </row>
    <row r="64">
      <c r="A64" s="5" t="s">
        <v>5</v>
      </c>
      <c r="B64" s="2" t="s">
        <v>91</v>
      </c>
      <c r="C64" s="31" t="s">
        <v>59</v>
      </c>
      <c r="E64" s="5" t="s">
        <v>8</v>
      </c>
      <c r="F64" s="5" t="s">
        <v>9</v>
      </c>
      <c r="G64" s="2" t="s">
        <v>95</v>
      </c>
      <c r="H64" s="31" t="s">
        <v>59</v>
      </c>
      <c r="J64" s="5" t="s">
        <v>8</v>
      </c>
      <c r="K64" s="5" t="s">
        <v>11</v>
      </c>
      <c r="L64" s="2" t="s">
        <v>96</v>
      </c>
      <c r="M64" s="31" t="s">
        <v>59</v>
      </c>
    </row>
    <row r="65">
      <c r="A65" s="5" t="s">
        <v>5</v>
      </c>
      <c r="B65" s="2" t="s">
        <v>95</v>
      </c>
      <c r="C65" s="31" t="s">
        <v>59</v>
      </c>
      <c r="E65" s="5" t="s">
        <v>8</v>
      </c>
      <c r="F65" s="5" t="s">
        <v>9</v>
      </c>
      <c r="G65" s="2" t="s">
        <v>97</v>
      </c>
      <c r="H65" s="31" t="s">
        <v>59</v>
      </c>
      <c r="J65" s="5" t="s">
        <v>8</v>
      </c>
      <c r="K65" s="5" t="s">
        <v>11</v>
      </c>
      <c r="L65" s="5" t="s">
        <v>98</v>
      </c>
      <c r="M65" s="31" t="s">
        <v>59</v>
      </c>
    </row>
    <row r="66">
      <c r="A66" s="5" t="s">
        <v>5</v>
      </c>
      <c r="B66" s="2" t="s">
        <v>97</v>
      </c>
      <c r="C66" s="31" t="s">
        <v>59</v>
      </c>
      <c r="E66" s="5" t="s">
        <v>8</v>
      </c>
      <c r="F66" s="5" t="s">
        <v>9</v>
      </c>
      <c r="G66" s="2" t="s">
        <v>99</v>
      </c>
      <c r="H66" s="31" t="s">
        <v>59</v>
      </c>
      <c r="K66" s="5" t="s">
        <v>11</v>
      </c>
      <c r="L66" s="32" t="s">
        <v>100</v>
      </c>
      <c r="M66" s="31" t="s">
        <v>59</v>
      </c>
    </row>
    <row r="67">
      <c r="A67" s="5" t="s">
        <v>5</v>
      </c>
      <c r="B67" s="2" t="s">
        <v>99</v>
      </c>
      <c r="C67" s="31" t="s">
        <v>59</v>
      </c>
      <c r="E67" s="5" t="s">
        <v>8</v>
      </c>
      <c r="F67" s="5" t="s">
        <v>9</v>
      </c>
      <c r="G67" s="2" t="s">
        <v>101</v>
      </c>
      <c r="H67" s="31" t="s">
        <v>59</v>
      </c>
      <c r="K67" s="2" t="s">
        <v>11</v>
      </c>
      <c r="L67" s="35" t="s">
        <v>71</v>
      </c>
      <c r="M67" s="34" t="s">
        <v>59</v>
      </c>
    </row>
    <row r="68">
      <c r="A68" s="5" t="s">
        <v>5</v>
      </c>
      <c r="B68" s="2" t="s">
        <v>101</v>
      </c>
      <c r="C68" s="31" t="s">
        <v>59</v>
      </c>
      <c r="E68" s="5" t="s">
        <v>8</v>
      </c>
      <c r="F68" s="5" t="s">
        <v>9</v>
      </c>
      <c r="G68" s="2" t="s">
        <v>93</v>
      </c>
      <c r="H68" s="31" t="s">
        <v>59</v>
      </c>
      <c r="K68" s="5" t="s">
        <v>11</v>
      </c>
      <c r="L68" s="2" t="s">
        <v>102</v>
      </c>
      <c r="M68" s="31" t="s">
        <v>59</v>
      </c>
    </row>
    <row r="69">
      <c r="A69" s="5" t="s">
        <v>5</v>
      </c>
      <c r="B69" s="2" t="s">
        <v>103</v>
      </c>
      <c r="C69" s="31" t="s">
        <v>59</v>
      </c>
      <c r="E69" s="5" t="s">
        <v>8</v>
      </c>
      <c r="F69" s="5" t="s">
        <v>9</v>
      </c>
      <c r="G69" s="2" t="s">
        <v>104</v>
      </c>
      <c r="H69" s="31" t="s">
        <v>59</v>
      </c>
      <c r="K69" s="5" t="s">
        <v>11</v>
      </c>
      <c r="L69" s="2" t="s">
        <v>105</v>
      </c>
      <c r="M69" s="31" t="s">
        <v>59</v>
      </c>
    </row>
    <row r="70">
      <c r="A70" s="5" t="s">
        <v>5</v>
      </c>
      <c r="B70" s="2" t="s">
        <v>106</v>
      </c>
      <c r="C70" s="31" t="s">
        <v>59</v>
      </c>
      <c r="F70" s="6" t="s">
        <v>9</v>
      </c>
      <c r="G70" s="2" t="s">
        <v>107</v>
      </c>
      <c r="H70" s="31" t="s">
        <v>59</v>
      </c>
      <c r="K70" s="5" t="s">
        <v>5</v>
      </c>
    </row>
    <row r="71">
      <c r="A71" s="5" t="s">
        <v>5</v>
      </c>
      <c r="B71" s="2" t="s">
        <v>104</v>
      </c>
      <c r="C71" s="31" t="s">
        <v>59</v>
      </c>
      <c r="E71" s="5" t="s">
        <v>8</v>
      </c>
      <c r="F71" s="6" t="s">
        <v>9</v>
      </c>
      <c r="G71" s="2" t="s">
        <v>94</v>
      </c>
      <c r="H71" s="31" t="s">
        <v>59</v>
      </c>
      <c r="K71" s="5" t="s">
        <v>11</v>
      </c>
      <c r="L71" s="2" t="s">
        <v>108</v>
      </c>
      <c r="M71" s="31" t="s">
        <v>59</v>
      </c>
    </row>
    <row r="72">
      <c r="A72" s="5" t="s">
        <v>5</v>
      </c>
      <c r="B72" s="32" t="s">
        <v>109</v>
      </c>
      <c r="C72" s="31" t="s">
        <v>59</v>
      </c>
      <c r="E72" s="5" t="s">
        <v>8</v>
      </c>
      <c r="F72" s="6" t="s">
        <v>9</v>
      </c>
      <c r="G72" s="2" t="s">
        <v>96</v>
      </c>
      <c r="H72" s="31" t="s">
        <v>59</v>
      </c>
    </row>
    <row r="73">
      <c r="A73" s="5" t="s">
        <v>5</v>
      </c>
      <c r="B73" s="5" t="s">
        <v>98</v>
      </c>
      <c r="C73" s="31" t="s">
        <v>59</v>
      </c>
      <c r="E73" s="5" t="s">
        <v>8</v>
      </c>
      <c r="F73" s="6" t="s">
        <v>9</v>
      </c>
      <c r="G73" s="2" t="s">
        <v>110</v>
      </c>
      <c r="H73" s="31" t="s">
        <v>59</v>
      </c>
      <c r="L73" s="6"/>
      <c r="M73" s="5"/>
    </row>
    <row r="74">
      <c r="A74" s="5" t="s">
        <v>5</v>
      </c>
      <c r="B74" s="32" t="s">
        <v>100</v>
      </c>
      <c r="C74" s="31" t="s">
        <v>59</v>
      </c>
      <c r="E74" s="5" t="s">
        <v>8</v>
      </c>
      <c r="F74" s="6" t="s">
        <v>9</v>
      </c>
      <c r="G74" s="5" t="s">
        <v>98</v>
      </c>
      <c r="H74" s="31" t="s">
        <v>59</v>
      </c>
      <c r="L74" s="36"/>
      <c r="M74" s="5"/>
    </row>
    <row r="75">
      <c r="A75" s="5" t="s">
        <v>5</v>
      </c>
      <c r="B75" s="2" t="s">
        <v>111</v>
      </c>
      <c r="C75" s="31" t="s">
        <v>59</v>
      </c>
      <c r="E75" s="5" t="s">
        <v>8</v>
      </c>
      <c r="F75" s="6" t="s">
        <v>9</v>
      </c>
      <c r="G75" s="32" t="s">
        <v>100</v>
      </c>
      <c r="H75" s="31" t="s">
        <v>59</v>
      </c>
      <c r="M75" s="5"/>
    </row>
    <row r="76">
      <c r="A76" s="5" t="s">
        <v>5</v>
      </c>
      <c r="B76" s="2" t="s">
        <v>112</v>
      </c>
      <c r="C76" s="31" t="s">
        <v>59</v>
      </c>
      <c r="E76" s="5" t="s">
        <v>8</v>
      </c>
      <c r="F76" s="5" t="s">
        <v>9</v>
      </c>
      <c r="G76" s="2" t="s">
        <v>113</v>
      </c>
      <c r="H76" s="31" t="s">
        <v>59</v>
      </c>
      <c r="L76" s="6"/>
      <c r="M76" s="6"/>
    </row>
    <row r="77">
      <c r="A77" s="5" t="s">
        <v>5</v>
      </c>
      <c r="B77" s="32" t="s">
        <v>114</v>
      </c>
      <c r="C77" s="31" t="s">
        <v>59</v>
      </c>
      <c r="E77" s="5" t="s">
        <v>8</v>
      </c>
      <c r="F77" s="5" t="s">
        <v>9</v>
      </c>
      <c r="G77" s="2" t="s">
        <v>111</v>
      </c>
      <c r="H77" s="31" t="s">
        <v>59</v>
      </c>
      <c r="J77" s="5" t="s">
        <v>8</v>
      </c>
    </row>
    <row r="78">
      <c r="A78" s="5" t="s">
        <v>5</v>
      </c>
      <c r="B78" s="2" t="s">
        <v>105</v>
      </c>
      <c r="C78" s="31" t="s">
        <v>59</v>
      </c>
      <c r="E78" s="5" t="s">
        <v>8</v>
      </c>
      <c r="F78" s="5" t="s">
        <v>9</v>
      </c>
      <c r="G78" s="2"/>
      <c r="H78" s="31"/>
    </row>
    <row r="79">
      <c r="A79" s="2"/>
      <c r="F79" s="5" t="s">
        <v>9</v>
      </c>
      <c r="G79" s="2" t="s">
        <v>105</v>
      </c>
      <c r="H79" s="31" t="s">
        <v>59</v>
      </c>
    </row>
    <row r="80">
      <c r="A80" s="2"/>
      <c r="F80" s="5" t="s">
        <v>9</v>
      </c>
      <c r="G80" s="2" t="s">
        <v>115</v>
      </c>
      <c r="H80" s="31" t="s">
        <v>59</v>
      </c>
    </row>
    <row r="81">
      <c r="A81" s="2"/>
      <c r="F81" s="5" t="s">
        <v>9</v>
      </c>
      <c r="G81" s="2"/>
      <c r="H81" s="31"/>
    </row>
    <row r="82">
      <c r="A82" s="2"/>
    </row>
    <row r="83">
      <c r="A83" s="2"/>
      <c r="G83" s="2"/>
      <c r="H83" s="31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3.88"/>
    <col customWidth="1" min="3" max="3" width="16.38"/>
    <col customWidth="1" min="4" max="4" width="5.75"/>
    <col customWidth="1" min="6" max="6" width="21.38"/>
    <col customWidth="1" min="7" max="7" width="9.75"/>
    <col customWidth="1" min="8" max="8" width="16.38"/>
    <col customWidth="1" min="9" max="9" width="5.75"/>
    <col customWidth="1" min="11" max="11" width="21.38"/>
    <col customWidth="1" min="12" max="12" width="9.75"/>
    <col customWidth="1" min="13" max="13" width="16.38"/>
    <col customWidth="1" min="14" max="14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</row>
    <row r="2">
      <c r="A2" s="2" t="s">
        <v>4</v>
      </c>
      <c r="B2" s="2"/>
      <c r="C2" s="3"/>
      <c r="D2" s="4">
        <f>sum(D3:D92)</f>
        <v>67</v>
      </c>
      <c r="F2" s="5"/>
      <c r="H2" s="3"/>
      <c r="I2" s="4">
        <f>sum(I3:I92)</f>
        <v>76</v>
      </c>
      <c r="K2" s="5"/>
      <c r="M2" s="3"/>
      <c r="N2" s="4">
        <f>sum(N3:N92)</f>
        <v>59</v>
      </c>
    </row>
    <row r="3">
      <c r="A3" s="6" t="s">
        <v>5</v>
      </c>
      <c r="B3" s="8" t="s">
        <v>6</v>
      </c>
      <c r="C3" s="7" t="s">
        <v>7</v>
      </c>
      <c r="D3" s="5">
        <f>counta(B3:B5)</f>
        <v>2</v>
      </c>
      <c r="E3" s="5" t="s">
        <v>8</v>
      </c>
      <c r="F3" s="5" t="s">
        <v>9</v>
      </c>
      <c r="G3" s="8" t="s">
        <v>116</v>
      </c>
      <c r="H3" s="7" t="s">
        <v>7</v>
      </c>
      <c r="I3" s="5">
        <f>counta(G3:G5)</f>
        <v>2</v>
      </c>
      <c r="K3" s="5" t="s">
        <v>11</v>
      </c>
      <c r="L3" s="8" t="s">
        <v>10</v>
      </c>
      <c r="M3" s="37" t="s">
        <v>117</v>
      </c>
      <c r="N3" s="5">
        <f>counta(L3:L5)</f>
        <v>1</v>
      </c>
    </row>
    <row r="4">
      <c r="A4" s="6" t="s">
        <v>5</v>
      </c>
      <c r="B4" s="8" t="s">
        <v>12</v>
      </c>
      <c r="C4" s="9" t="s">
        <v>7</v>
      </c>
      <c r="E4" s="5" t="s">
        <v>8</v>
      </c>
      <c r="F4" s="5" t="s">
        <v>9</v>
      </c>
      <c r="G4" s="8" t="s">
        <v>6</v>
      </c>
      <c r="H4" s="7" t="s">
        <v>7</v>
      </c>
      <c r="L4" s="12"/>
      <c r="M4" s="12"/>
    </row>
    <row r="5">
      <c r="A5" s="6"/>
      <c r="B5" s="12"/>
      <c r="C5" s="12"/>
      <c r="G5" s="12"/>
      <c r="H5" s="12"/>
      <c r="L5" s="12"/>
      <c r="M5" s="12"/>
    </row>
    <row r="6">
      <c r="A6" s="6"/>
      <c r="B6" s="2"/>
      <c r="C6" s="12"/>
      <c r="G6" s="2"/>
      <c r="H6" s="12"/>
      <c r="L6" s="12"/>
      <c r="M6" s="12"/>
    </row>
    <row r="7">
      <c r="A7" s="6"/>
      <c r="B7" s="2"/>
      <c r="C7" s="12"/>
      <c r="G7" s="2"/>
      <c r="H7" s="12"/>
      <c r="K7" s="5"/>
      <c r="L7" s="2"/>
      <c r="M7" s="12"/>
    </row>
    <row r="8">
      <c r="A8" s="12"/>
      <c r="B8" s="2"/>
      <c r="C8" s="12"/>
      <c r="F8" s="5"/>
      <c r="G8" s="2"/>
      <c r="H8" s="12"/>
      <c r="K8" s="5"/>
      <c r="L8" s="2"/>
      <c r="M8" s="12"/>
    </row>
    <row r="9">
      <c r="A9" s="6" t="s">
        <v>5</v>
      </c>
      <c r="B9" s="2" t="s">
        <v>15</v>
      </c>
      <c r="C9" s="13" t="s">
        <v>16</v>
      </c>
      <c r="D9" s="5">
        <f>counta(B9:B16)</f>
        <v>8</v>
      </c>
      <c r="E9" s="5" t="s">
        <v>8</v>
      </c>
      <c r="F9" s="5" t="s">
        <v>9</v>
      </c>
      <c r="G9" s="2" t="s">
        <v>15</v>
      </c>
      <c r="H9" s="13" t="s">
        <v>16</v>
      </c>
      <c r="I9" s="5">
        <f>counta(G9:G16)</f>
        <v>8</v>
      </c>
      <c r="K9" s="5" t="s">
        <v>11</v>
      </c>
      <c r="L9" s="2" t="s">
        <v>15</v>
      </c>
      <c r="M9" s="13" t="s">
        <v>16</v>
      </c>
      <c r="N9" s="5">
        <f>counta(L9:L16)</f>
        <v>8</v>
      </c>
    </row>
    <row r="10">
      <c r="A10" s="6" t="s">
        <v>5</v>
      </c>
      <c r="B10" s="2" t="s">
        <v>17</v>
      </c>
      <c r="C10" s="13" t="s">
        <v>18</v>
      </c>
      <c r="E10" s="5" t="s">
        <v>8</v>
      </c>
      <c r="F10" s="5" t="s">
        <v>9</v>
      </c>
      <c r="G10" s="2" t="s">
        <v>17</v>
      </c>
      <c r="H10" s="13" t="s">
        <v>18</v>
      </c>
      <c r="K10" s="5" t="s">
        <v>11</v>
      </c>
      <c r="L10" s="2" t="s">
        <v>17</v>
      </c>
      <c r="M10" s="13" t="s">
        <v>18</v>
      </c>
    </row>
    <row r="11">
      <c r="A11" s="6" t="s">
        <v>5</v>
      </c>
      <c r="B11" s="2" t="s">
        <v>19</v>
      </c>
      <c r="C11" s="13" t="s">
        <v>20</v>
      </c>
      <c r="E11" s="5" t="s">
        <v>8</v>
      </c>
      <c r="F11" s="5" t="s">
        <v>9</v>
      </c>
      <c r="G11" s="2" t="s">
        <v>19</v>
      </c>
      <c r="H11" s="13" t="s">
        <v>20</v>
      </c>
      <c r="K11" s="5" t="s">
        <v>11</v>
      </c>
      <c r="L11" s="2" t="s">
        <v>19</v>
      </c>
      <c r="M11" s="13" t="s">
        <v>20</v>
      </c>
    </row>
    <row r="12">
      <c r="A12" s="6" t="s">
        <v>5</v>
      </c>
      <c r="B12" s="2" t="s">
        <v>21</v>
      </c>
      <c r="C12" s="13" t="s">
        <v>22</v>
      </c>
      <c r="E12" s="5" t="s">
        <v>8</v>
      </c>
      <c r="F12" s="5" t="s">
        <v>9</v>
      </c>
      <c r="G12" s="2" t="s">
        <v>21</v>
      </c>
      <c r="H12" s="13" t="s">
        <v>22</v>
      </c>
      <c r="K12" s="5" t="s">
        <v>11</v>
      </c>
      <c r="L12" s="2" t="s">
        <v>21</v>
      </c>
      <c r="M12" s="13" t="s">
        <v>22</v>
      </c>
    </row>
    <row r="13">
      <c r="A13" s="6" t="s">
        <v>5</v>
      </c>
      <c r="B13" s="2" t="s">
        <v>23</v>
      </c>
      <c r="C13" s="13" t="s">
        <v>24</v>
      </c>
      <c r="E13" s="5" t="s">
        <v>8</v>
      </c>
      <c r="F13" s="5" t="s">
        <v>9</v>
      </c>
      <c r="G13" s="2" t="s">
        <v>23</v>
      </c>
      <c r="H13" s="13" t="s">
        <v>24</v>
      </c>
      <c r="K13" s="5" t="s">
        <v>11</v>
      </c>
      <c r="L13" s="2" t="s">
        <v>23</v>
      </c>
      <c r="M13" s="13" t="s">
        <v>24</v>
      </c>
    </row>
    <row r="14">
      <c r="A14" s="6" t="s">
        <v>5</v>
      </c>
      <c r="B14" s="2" t="s">
        <v>25</v>
      </c>
      <c r="C14" s="13" t="s">
        <v>24</v>
      </c>
      <c r="E14" s="5" t="s">
        <v>8</v>
      </c>
      <c r="F14" s="5" t="s">
        <v>9</v>
      </c>
      <c r="G14" s="2" t="s">
        <v>25</v>
      </c>
      <c r="H14" s="13" t="s">
        <v>24</v>
      </c>
      <c r="K14" s="5" t="s">
        <v>11</v>
      </c>
      <c r="L14" s="2" t="s">
        <v>25</v>
      </c>
      <c r="M14" s="13" t="s">
        <v>24</v>
      </c>
    </row>
    <row r="15">
      <c r="A15" s="6" t="s">
        <v>5</v>
      </c>
      <c r="B15" s="2" t="s">
        <v>26</v>
      </c>
      <c r="C15" s="13" t="s">
        <v>24</v>
      </c>
      <c r="F15" s="5" t="s">
        <v>9</v>
      </c>
      <c r="G15" s="2" t="s">
        <v>26</v>
      </c>
      <c r="H15" s="13" t="s">
        <v>24</v>
      </c>
      <c r="K15" s="5" t="s">
        <v>11</v>
      </c>
      <c r="L15" s="2" t="s">
        <v>26</v>
      </c>
      <c r="M15" s="13" t="s">
        <v>24</v>
      </c>
    </row>
    <row r="16">
      <c r="A16" s="6" t="s">
        <v>5</v>
      </c>
      <c r="B16" s="2" t="s">
        <v>118</v>
      </c>
      <c r="C16" s="13" t="s">
        <v>24</v>
      </c>
      <c r="F16" s="5" t="s">
        <v>9</v>
      </c>
      <c r="G16" s="2" t="s">
        <v>118</v>
      </c>
      <c r="H16" s="13" t="s">
        <v>24</v>
      </c>
      <c r="K16" s="5" t="s">
        <v>11</v>
      </c>
      <c r="L16" s="2" t="s">
        <v>118</v>
      </c>
      <c r="M16" s="13" t="s">
        <v>24</v>
      </c>
    </row>
    <row r="17">
      <c r="A17" s="12"/>
      <c r="B17" s="2"/>
      <c r="C17" s="12"/>
      <c r="F17" s="5"/>
      <c r="G17" s="2"/>
      <c r="K17" s="5"/>
      <c r="M17" s="5"/>
    </row>
    <row r="18">
      <c r="A18" s="6" t="s">
        <v>5</v>
      </c>
      <c r="B18" s="2" t="s">
        <v>119</v>
      </c>
      <c r="C18" s="14" t="s">
        <v>28</v>
      </c>
      <c r="D18" s="5">
        <f>counta(B18:B37)</f>
        <v>20</v>
      </c>
      <c r="E18" s="5" t="s">
        <v>8</v>
      </c>
      <c r="F18" s="5" t="s">
        <v>9</v>
      </c>
      <c r="G18" s="21" t="s">
        <v>119</v>
      </c>
      <c r="H18" s="14" t="s">
        <v>28</v>
      </c>
      <c r="I18" s="5">
        <f>counta(G18:G37)</f>
        <v>20</v>
      </c>
      <c r="K18" s="5" t="s">
        <v>11</v>
      </c>
      <c r="L18" s="20" t="s">
        <v>120</v>
      </c>
      <c r="M18" s="18" t="s">
        <v>28</v>
      </c>
      <c r="N18" s="5">
        <f>counta(L18:L37)</f>
        <v>17</v>
      </c>
    </row>
    <row r="19">
      <c r="A19" s="6" t="s">
        <v>5</v>
      </c>
      <c r="B19" s="2" t="s">
        <v>120</v>
      </c>
      <c r="C19" s="14" t="s">
        <v>28</v>
      </c>
      <c r="F19" s="5" t="s">
        <v>9</v>
      </c>
      <c r="G19" s="19" t="s">
        <v>120</v>
      </c>
      <c r="H19" s="14" t="s">
        <v>28</v>
      </c>
      <c r="K19" s="5" t="s">
        <v>11</v>
      </c>
      <c r="L19" s="15" t="s">
        <v>121</v>
      </c>
      <c r="M19" s="18" t="s">
        <v>28</v>
      </c>
    </row>
    <row r="20">
      <c r="A20" s="6" t="s">
        <v>5</v>
      </c>
      <c r="B20" s="2" t="s">
        <v>121</v>
      </c>
      <c r="C20" s="14" t="s">
        <v>28</v>
      </c>
      <c r="E20" s="5" t="s">
        <v>8</v>
      </c>
      <c r="F20" s="5" t="s">
        <v>9</v>
      </c>
      <c r="G20" s="15" t="s">
        <v>121</v>
      </c>
      <c r="H20" s="14" t="s">
        <v>28</v>
      </c>
      <c r="J20" s="5" t="s">
        <v>8</v>
      </c>
      <c r="K20" s="5" t="s">
        <v>11</v>
      </c>
      <c r="L20" s="15" t="s">
        <v>29</v>
      </c>
      <c r="M20" s="14" t="s">
        <v>30</v>
      </c>
    </row>
    <row r="21">
      <c r="A21" s="6" t="s">
        <v>5</v>
      </c>
      <c r="B21" s="2" t="s">
        <v>29</v>
      </c>
      <c r="C21" s="14" t="s">
        <v>30</v>
      </c>
      <c r="E21" s="5" t="s">
        <v>8</v>
      </c>
      <c r="F21" s="5" t="s">
        <v>9</v>
      </c>
      <c r="G21" s="15" t="s">
        <v>29</v>
      </c>
      <c r="H21" s="14" t="s">
        <v>30</v>
      </c>
      <c r="K21" s="5" t="s">
        <v>34</v>
      </c>
      <c r="L21" s="15" t="s">
        <v>32</v>
      </c>
      <c r="M21" s="14" t="s">
        <v>30</v>
      </c>
    </row>
    <row r="22">
      <c r="A22" s="6" t="s">
        <v>5</v>
      </c>
      <c r="B22" s="2" t="s">
        <v>32</v>
      </c>
      <c r="C22" s="14" t="s">
        <v>28</v>
      </c>
      <c r="E22" s="5" t="s">
        <v>8</v>
      </c>
      <c r="F22" s="5" t="s">
        <v>9</v>
      </c>
      <c r="G22" s="19" t="s">
        <v>32</v>
      </c>
      <c r="H22" s="14" t="s">
        <v>30</v>
      </c>
      <c r="K22" s="5" t="s">
        <v>34</v>
      </c>
      <c r="L22" s="15" t="s">
        <v>33</v>
      </c>
      <c r="M22" s="18" t="s">
        <v>28</v>
      </c>
      <c r="P22" s="6"/>
    </row>
    <row r="23">
      <c r="A23" s="6" t="s">
        <v>5</v>
      </c>
      <c r="B23" s="2" t="s">
        <v>33</v>
      </c>
      <c r="C23" s="14" t="s">
        <v>28</v>
      </c>
      <c r="E23" s="5" t="s">
        <v>8</v>
      </c>
      <c r="F23" s="5" t="s">
        <v>9</v>
      </c>
      <c r="G23" s="20" t="s">
        <v>33</v>
      </c>
      <c r="H23" s="14" t="s">
        <v>28</v>
      </c>
      <c r="K23" s="5" t="s">
        <v>34</v>
      </c>
      <c r="L23" s="23" t="s">
        <v>122</v>
      </c>
      <c r="M23" s="14" t="s">
        <v>28</v>
      </c>
      <c r="P23" s="6"/>
    </row>
    <row r="24">
      <c r="A24" s="6" t="s">
        <v>5</v>
      </c>
      <c r="B24" s="2" t="s">
        <v>35</v>
      </c>
      <c r="C24" s="14" t="s">
        <v>28</v>
      </c>
      <c r="E24" s="38">
        <v>0.3900134490686469</v>
      </c>
      <c r="F24" s="5" t="s">
        <v>9</v>
      </c>
      <c r="G24" s="20" t="s">
        <v>35</v>
      </c>
      <c r="H24" s="14" t="s">
        <v>28</v>
      </c>
      <c r="K24" s="5" t="s">
        <v>34</v>
      </c>
      <c r="L24" s="19" t="s">
        <v>123</v>
      </c>
      <c r="M24" s="17" t="s">
        <v>28</v>
      </c>
    </row>
    <row r="25">
      <c r="A25" s="6" t="s">
        <v>5</v>
      </c>
      <c r="B25" s="27" t="s">
        <v>124</v>
      </c>
      <c r="C25" s="14" t="s">
        <v>28</v>
      </c>
      <c r="F25" s="5" t="s">
        <v>9</v>
      </c>
      <c r="G25" s="21" t="s">
        <v>122</v>
      </c>
      <c r="H25" s="14" t="s">
        <v>28</v>
      </c>
      <c r="K25" s="5" t="s">
        <v>34</v>
      </c>
      <c r="L25" s="15" t="s">
        <v>125</v>
      </c>
      <c r="M25" s="18" t="s">
        <v>28</v>
      </c>
    </row>
    <row r="26">
      <c r="A26" s="6" t="s">
        <v>5</v>
      </c>
      <c r="B26" s="2" t="s">
        <v>126</v>
      </c>
      <c r="C26" s="14" t="s">
        <v>28</v>
      </c>
      <c r="F26" s="5" t="s">
        <v>9</v>
      </c>
      <c r="G26" s="15" t="s">
        <v>124</v>
      </c>
      <c r="H26" s="14" t="s">
        <v>28</v>
      </c>
      <c r="K26" s="5" t="s">
        <v>34</v>
      </c>
      <c r="L26" s="23" t="s">
        <v>127</v>
      </c>
      <c r="M26" s="17" t="s">
        <v>28</v>
      </c>
    </row>
    <row r="27">
      <c r="A27" s="6" t="s">
        <v>5</v>
      </c>
      <c r="B27" s="2" t="s">
        <v>36</v>
      </c>
      <c r="C27" s="14" t="s">
        <v>28</v>
      </c>
      <c r="E27" s="5" t="s">
        <v>8</v>
      </c>
      <c r="F27" s="5" t="s">
        <v>9</v>
      </c>
      <c r="G27" s="19" t="s">
        <v>123</v>
      </c>
      <c r="H27" s="14" t="s">
        <v>28</v>
      </c>
      <c r="K27" s="5" t="s">
        <v>34</v>
      </c>
      <c r="L27" s="20" t="s">
        <v>37</v>
      </c>
      <c r="M27" s="14" t="s">
        <v>30</v>
      </c>
    </row>
    <row r="28">
      <c r="A28" s="6" t="s">
        <v>5</v>
      </c>
      <c r="B28" s="2" t="s">
        <v>127</v>
      </c>
      <c r="C28" s="14" t="s">
        <v>28</v>
      </c>
      <c r="F28" s="5" t="s">
        <v>9</v>
      </c>
      <c r="G28" s="21" t="s">
        <v>126</v>
      </c>
      <c r="H28" s="14" t="s">
        <v>28</v>
      </c>
      <c r="K28" s="5" t="s">
        <v>34</v>
      </c>
      <c r="L28" s="28" t="s">
        <v>38</v>
      </c>
      <c r="M28" s="17" t="s">
        <v>28</v>
      </c>
    </row>
    <row r="29">
      <c r="A29" s="6" t="s">
        <v>5</v>
      </c>
      <c r="B29" s="2" t="s">
        <v>37</v>
      </c>
      <c r="C29" s="14" t="s">
        <v>30</v>
      </c>
      <c r="F29" s="5" t="s">
        <v>9</v>
      </c>
      <c r="G29" s="15" t="s">
        <v>36</v>
      </c>
      <c r="H29" s="14" t="s">
        <v>28</v>
      </c>
      <c r="K29" s="5" t="s">
        <v>34</v>
      </c>
      <c r="L29" s="28" t="s">
        <v>128</v>
      </c>
      <c r="M29" s="17" t="s">
        <v>28</v>
      </c>
    </row>
    <row r="30">
      <c r="A30" s="6" t="s">
        <v>5</v>
      </c>
      <c r="B30" s="2" t="s">
        <v>38</v>
      </c>
      <c r="C30" s="14" t="s">
        <v>28</v>
      </c>
      <c r="F30" s="5" t="s">
        <v>9</v>
      </c>
      <c r="G30" s="15" t="s">
        <v>125</v>
      </c>
      <c r="H30" s="14" t="s">
        <v>28</v>
      </c>
      <c r="K30" s="5" t="s">
        <v>34</v>
      </c>
      <c r="L30" s="25" t="s">
        <v>129</v>
      </c>
      <c r="M30" s="17" t="s">
        <v>28</v>
      </c>
    </row>
    <row r="31">
      <c r="A31" s="6" t="s">
        <v>5</v>
      </c>
      <c r="B31" s="2" t="s">
        <v>130</v>
      </c>
      <c r="C31" s="14" t="s">
        <v>28</v>
      </c>
      <c r="E31" s="5" t="s">
        <v>8</v>
      </c>
      <c r="F31" s="5" t="s">
        <v>9</v>
      </c>
      <c r="G31" s="27" t="s">
        <v>127</v>
      </c>
      <c r="H31" s="14" t="s">
        <v>28</v>
      </c>
      <c r="K31" s="5" t="s">
        <v>34</v>
      </c>
      <c r="L31" s="26" t="s">
        <v>131</v>
      </c>
      <c r="M31" s="17" t="s">
        <v>28</v>
      </c>
    </row>
    <row r="32">
      <c r="A32" s="6" t="s">
        <v>5</v>
      </c>
      <c r="B32" s="2" t="s">
        <v>132</v>
      </c>
      <c r="C32" s="14" t="s">
        <v>28</v>
      </c>
      <c r="F32" s="5" t="s">
        <v>9</v>
      </c>
      <c r="G32" s="25" t="s">
        <v>130</v>
      </c>
      <c r="H32" s="14" t="s">
        <v>28</v>
      </c>
      <c r="K32" s="5" t="s">
        <v>34</v>
      </c>
      <c r="L32" s="27" t="s">
        <v>133</v>
      </c>
      <c r="M32" s="17" t="s">
        <v>28</v>
      </c>
    </row>
    <row r="33">
      <c r="A33" s="6" t="s">
        <v>5</v>
      </c>
      <c r="B33" s="2" t="s">
        <v>13</v>
      </c>
      <c r="C33" s="14" t="s">
        <v>28</v>
      </c>
      <c r="F33" s="5" t="s">
        <v>9</v>
      </c>
      <c r="G33" s="25" t="s">
        <v>132</v>
      </c>
      <c r="H33" s="14" t="s">
        <v>28</v>
      </c>
      <c r="K33" s="5" t="s">
        <v>34</v>
      </c>
      <c r="L33" s="25" t="s">
        <v>51</v>
      </c>
      <c r="M33" s="14" t="s">
        <v>30</v>
      </c>
    </row>
    <row r="34">
      <c r="A34" s="6" t="s">
        <v>5</v>
      </c>
      <c r="B34" s="2" t="s">
        <v>131</v>
      </c>
      <c r="C34" s="14" t="s">
        <v>28</v>
      </c>
      <c r="E34" s="5" t="s">
        <v>8</v>
      </c>
      <c r="F34" s="5" t="s">
        <v>9</v>
      </c>
      <c r="G34" s="20" t="s">
        <v>37</v>
      </c>
      <c r="H34" s="14" t="s">
        <v>30</v>
      </c>
      <c r="K34" s="5" t="s">
        <v>34</v>
      </c>
      <c r="L34" s="2" t="s">
        <v>134</v>
      </c>
      <c r="M34" s="14" t="s">
        <v>28</v>
      </c>
    </row>
    <row r="35">
      <c r="A35" s="6" t="s">
        <v>5</v>
      </c>
      <c r="B35" s="2" t="s">
        <v>134</v>
      </c>
      <c r="C35" s="14" t="s">
        <v>28</v>
      </c>
      <c r="E35" s="5" t="s">
        <v>8</v>
      </c>
      <c r="F35" s="5" t="s">
        <v>9</v>
      </c>
      <c r="G35" s="28" t="s">
        <v>135</v>
      </c>
      <c r="H35" s="14" t="s">
        <v>28</v>
      </c>
    </row>
    <row r="36">
      <c r="A36" s="6" t="s">
        <v>5</v>
      </c>
      <c r="B36" s="2" t="s">
        <v>51</v>
      </c>
      <c r="C36" s="14" t="s">
        <v>30</v>
      </c>
      <c r="E36" s="5" t="s">
        <v>8</v>
      </c>
      <c r="F36" s="5" t="s">
        <v>9</v>
      </c>
      <c r="G36" s="27" t="s">
        <v>131</v>
      </c>
      <c r="H36" s="14" t="s">
        <v>28</v>
      </c>
    </row>
    <row r="37">
      <c r="A37" s="6"/>
      <c r="B37" s="39" t="s">
        <v>57</v>
      </c>
      <c r="C37" s="14" t="str">
        <f>C35</f>
        <v>Mentor</v>
      </c>
      <c r="D37" s="12"/>
      <c r="E37" s="2" t="s">
        <v>8</v>
      </c>
      <c r="F37" s="5" t="s">
        <v>9</v>
      </c>
      <c r="G37" s="15" t="s">
        <v>51</v>
      </c>
      <c r="H37" s="14" t="s">
        <v>30</v>
      </c>
      <c r="I37" s="12"/>
      <c r="J37" s="12"/>
      <c r="K37" s="12"/>
      <c r="L37" s="12"/>
      <c r="M37" s="12"/>
      <c r="N37" s="12"/>
      <c r="O37" s="12"/>
      <c r="P37" s="12"/>
    </row>
    <row r="38">
      <c r="A38" s="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5" t="s">
        <v>5</v>
      </c>
      <c r="B40" s="2" t="s">
        <v>58</v>
      </c>
      <c r="C40" s="31" t="s">
        <v>59</v>
      </c>
      <c r="D40" s="5">
        <f>counta(B40:B105)</f>
        <v>37</v>
      </c>
      <c r="E40" s="5" t="s">
        <v>8</v>
      </c>
      <c r="F40" s="5" t="s">
        <v>9</v>
      </c>
      <c r="G40" s="29" t="s">
        <v>62</v>
      </c>
      <c r="H40" s="31" t="s">
        <v>59</v>
      </c>
      <c r="I40" s="5">
        <f>counta(G40:G105)</f>
        <v>46</v>
      </c>
      <c r="L40" s="32"/>
      <c r="M40" s="31"/>
      <c r="N40" s="5">
        <f>counta(L40:L105)</f>
        <v>33</v>
      </c>
    </row>
    <row r="41">
      <c r="A41" s="5" t="s">
        <v>5</v>
      </c>
      <c r="B41" s="2" t="s">
        <v>61</v>
      </c>
      <c r="C41" s="31" t="s">
        <v>59</v>
      </c>
      <c r="F41" s="5" t="s">
        <v>9</v>
      </c>
      <c r="G41" s="29" t="s">
        <v>61</v>
      </c>
      <c r="H41" s="31" t="s">
        <v>59</v>
      </c>
      <c r="K41" s="5" t="s">
        <v>11</v>
      </c>
      <c r="L41" s="2" t="s">
        <v>62</v>
      </c>
      <c r="M41" s="31" t="s">
        <v>59</v>
      </c>
    </row>
    <row r="42">
      <c r="A42" s="5" t="s">
        <v>5</v>
      </c>
      <c r="B42" s="33" t="s">
        <v>136</v>
      </c>
      <c r="C42" s="31" t="s">
        <v>59</v>
      </c>
      <c r="E42" s="5" t="s">
        <v>8</v>
      </c>
      <c r="F42" s="5" t="s">
        <v>9</v>
      </c>
      <c r="G42" s="29" t="s">
        <v>137</v>
      </c>
      <c r="H42" s="31" t="s">
        <v>59</v>
      </c>
      <c r="K42" s="5" t="s">
        <v>11</v>
      </c>
      <c r="L42" s="2" t="s">
        <v>138</v>
      </c>
      <c r="M42" s="31" t="s">
        <v>59</v>
      </c>
    </row>
    <row r="43">
      <c r="A43" s="5" t="s">
        <v>5</v>
      </c>
      <c r="B43" s="2" t="s">
        <v>63</v>
      </c>
      <c r="C43" s="34" t="s">
        <v>59</v>
      </c>
      <c r="F43" s="5" t="s">
        <v>9</v>
      </c>
      <c r="G43" s="29" t="s">
        <v>139</v>
      </c>
      <c r="H43" s="31" t="s">
        <v>59</v>
      </c>
      <c r="K43" s="5" t="s">
        <v>11</v>
      </c>
      <c r="L43" s="2" t="s">
        <v>137</v>
      </c>
      <c r="M43" s="31" t="s">
        <v>59</v>
      </c>
    </row>
    <row r="44">
      <c r="A44" s="5" t="s">
        <v>5</v>
      </c>
      <c r="B44" s="2" t="s">
        <v>140</v>
      </c>
      <c r="C44" s="31" t="s">
        <v>59</v>
      </c>
      <c r="E44" s="5" t="s">
        <v>8</v>
      </c>
      <c r="F44" s="5" t="s">
        <v>9</v>
      </c>
      <c r="G44" s="33" t="s">
        <v>136</v>
      </c>
      <c r="H44" s="31" t="s">
        <v>59</v>
      </c>
      <c r="K44" s="5" t="s">
        <v>11</v>
      </c>
      <c r="L44" s="2" t="s">
        <v>139</v>
      </c>
      <c r="M44" s="31" t="s">
        <v>59</v>
      </c>
    </row>
    <row r="45">
      <c r="A45" s="5" t="s">
        <v>5</v>
      </c>
      <c r="B45" s="2" t="s">
        <v>72</v>
      </c>
      <c r="C45" s="31" t="s">
        <v>59</v>
      </c>
      <c r="E45" s="5" t="s">
        <v>8</v>
      </c>
      <c r="F45" s="5" t="s">
        <v>9</v>
      </c>
      <c r="G45" s="29" t="s">
        <v>68</v>
      </c>
      <c r="H45" s="31" t="s">
        <v>59</v>
      </c>
      <c r="K45" s="5" t="s">
        <v>11</v>
      </c>
      <c r="L45" s="33" t="s">
        <v>136</v>
      </c>
      <c r="M45" s="31" t="s">
        <v>59</v>
      </c>
    </row>
    <row r="46">
      <c r="A46" s="5" t="s">
        <v>5</v>
      </c>
      <c r="B46" s="2" t="s">
        <v>67</v>
      </c>
      <c r="C46" s="31" t="s">
        <v>59</v>
      </c>
      <c r="E46" s="5" t="s">
        <v>8</v>
      </c>
      <c r="F46" s="5" t="s">
        <v>9</v>
      </c>
      <c r="G46" s="29" t="s">
        <v>140</v>
      </c>
      <c r="H46" s="31" t="s">
        <v>59</v>
      </c>
      <c r="K46" s="5" t="s">
        <v>11</v>
      </c>
      <c r="L46" s="2" t="s">
        <v>72</v>
      </c>
      <c r="M46" s="31" t="s">
        <v>59</v>
      </c>
    </row>
    <row r="47">
      <c r="A47" s="5" t="s">
        <v>5</v>
      </c>
      <c r="B47" s="2" t="s">
        <v>141</v>
      </c>
      <c r="C47" s="31" t="s">
        <v>59</v>
      </c>
      <c r="E47" s="5" t="s">
        <v>8</v>
      </c>
      <c r="F47" s="5" t="s">
        <v>9</v>
      </c>
      <c r="G47" s="29" t="s">
        <v>141</v>
      </c>
      <c r="H47" s="31" t="s">
        <v>59</v>
      </c>
      <c r="K47" s="5" t="s">
        <v>11</v>
      </c>
      <c r="L47" s="2" t="s">
        <v>142</v>
      </c>
      <c r="M47" s="31" t="s">
        <v>59</v>
      </c>
    </row>
    <row r="48">
      <c r="A48" s="5" t="s">
        <v>5</v>
      </c>
      <c r="B48" s="2" t="s">
        <v>70</v>
      </c>
      <c r="C48" s="31" t="s">
        <v>59</v>
      </c>
      <c r="E48" s="5" t="s">
        <v>8</v>
      </c>
      <c r="G48" s="29"/>
      <c r="H48" s="31"/>
      <c r="K48" s="5" t="s">
        <v>11</v>
      </c>
      <c r="L48" s="2" t="s">
        <v>141</v>
      </c>
      <c r="M48" s="31" t="s">
        <v>59</v>
      </c>
    </row>
    <row r="49">
      <c r="B49" s="2"/>
      <c r="C49" s="31"/>
      <c r="F49" s="5" t="s">
        <v>9</v>
      </c>
      <c r="G49" s="29" t="s">
        <v>143</v>
      </c>
      <c r="H49" s="31" t="s">
        <v>59</v>
      </c>
      <c r="K49" s="5" t="s">
        <v>11</v>
      </c>
      <c r="L49" s="5" t="s">
        <v>143</v>
      </c>
      <c r="M49" s="31" t="s">
        <v>59</v>
      </c>
    </row>
    <row r="50">
      <c r="A50" s="5" t="s">
        <v>5</v>
      </c>
      <c r="B50" s="2" t="s">
        <v>144</v>
      </c>
      <c r="C50" s="31"/>
      <c r="E50" s="5" t="s">
        <v>8</v>
      </c>
      <c r="F50" s="5" t="s">
        <v>9</v>
      </c>
      <c r="G50" s="2" t="s">
        <v>144</v>
      </c>
      <c r="H50" s="31"/>
      <c r="K50" s="5" t="s">
        <v>11</v>
      </c>
      <c r="L50" s="2" t="s">
        <v>145</v>
      </c>
      <c r="M50" s="31" t="s">
        <v>59</v>
      </c>
    </row>
    <row r="51">
      <c r="A51" s="5" t="s">
        <v>5</v>
      </c>
      <c r="B51" s="2" t="s">
        <v>80</v>
      </c>
      <c r="C51" s="31" t="s">
        <v>59</v>
      </c>
      <c r="F51" s="5" t="s">
        <v>9</v>
      </c>
      <c r="G51" s="29" t="s">
        <v>81</v>
      </c>
      <c r="H51" s="31" t="s">
        <v>59</v>
      </c>
      <c r="L51" s="2"/>
      <c r="M51" s="31"/>
    </row>
    <row r="52">
      <c r="A52" s="5" t="s">
        <v>5</v>
      </c>
      <c r="B52" s="2" t="s">
        <v>81</v>
      </c>
      <c r="C52" s="31" t="s">
        <v>59</v>
      </c>
      <c r="F52" s="5" t="s">
        <v>9</v>
      </c>
      <c r="G52" s="29" t="s">
        <v>146</v>
      </c>
      <c r="H52" s="31" t="s">
        <v>59</v>
      </c>
      <c r="K52" s="5" t="s">
        <v>11</v>
      </c>
      <c r="L52" s="2" t="s">
        <v>147</v>
      </c>
      <c r="M52" s="31" t="s">
        <v>59</v>
      </c>
    </row>
    <row r="53">
      <c r="A53" s="5" t="s">
        <v>5</v>
      </c>
      <c r="B53" s="2" t="s">
        <v>146</v>
      </c>
      <c r="C53" s="31" t="s">
        <v>59</v>
      </c>
      <c r="E53" s="5" t="s">
        <v>8</v>
      </c>
      <c r="F53" s="5" t="s">
        <v>9</v>
      </c>
      <c r="G53" s="29" t="s">
        <v>75</v>
      </c>
      <c r="H53" s="31" t="s">
        <v>59</v>
      </c>
      <c r="K53" s="5" t="s">
        <v>11</v>
      </c>
      <c r="L53" s="2" t="s">
        <v>148</v>
      </c>
      <c r="M53" s="31" t="s">
        <v>59</v>
      </c>
    </row>
    <row r="54">
      <c r="A54" s="5" t="s">
        <v>5</v>
      </c>
      <c r="B54" s="2" t="s">
        <v>149</v>
      </c>
      <c r="C54" s="31" t="s">
        <v>59</v>
      </c>
      <c r="E54" s="5" t="s">
        <v>8</v>
      </c>
      <c r="G54" s="29"/>
      <c r="H54" s="31"/>
      <c r="K54" s="5" t="s">
        <v>11</v>
      </c>
      <c r="L54" s="2" t="s">
        <v>144</v>
      </c>
      <c r="M54" s="31"/>
    </row>
    <row r="55">
      <c r="A55" s="5" t="s">
        <v>5</v>
      </c>
      <c r="B55" s="2" t="s">
        <v>77</v>
      </c>
      <c r="C55" s="31" t="s">
        <v>59</v>
      </c>
      <c r="E55" s="5" t="s">
        <v>8</v>
      </c>
      <c r="F55" s="5" t="s">
        <v>9</v>
      </c>
      <c r="G55" s="29" t="s">
        <v>149</v>
      </c>
      <c r="H55" s="31" t="s">
        <v>59</v>
      </c>
      <c r="K55" s="5" t="s">
        <v>11</v>
      </c>
      <c r="L55" s="2" t="s">
        <v>82</v>
      </c>
      <c r="M55" s="31" t="s">
        <v>59</v>
      </c>
    </row>
    <row r="56">
      <c r="A56" s="5" t="s">
        <v>5</v>
      </c>
      <c r="B56" s="2" t="s">
        <v>84</v>
      </c>
      <c r="C56" s="31" t="s">
        <v>59</v>
      </c>
      <c r="F56" s="5" t="s">
        <v>9</v>
      </c>
      <c r="G56" s="29" t="s">
        <v>150</v>
      </c>
      <c r="H56" s="31" t="s">
        <v>59</v>
      </c>
      <c r="K56" s="5" t="s">
        <v>11</v>
      </c>
      <c r="L56" s="40" t="s">
        <v>89</v>
      </c>
      <c r="M56" s="31" t="s">
        <v>59</v>
      </c>
    </row>
    <row r="57">
      <c r="A57" s="5" t="s">
        <v>5</v>
      </c>
      <c r="B57" s="2" t="s">
        <v>86</v>
      </c>
      <c r="C57" s="31" t="s">
        <v>59</v>
      </c>
      <c r="E57" s="5" t="s">
        <v>8</v>
      </c>
      <c r="F57" s="5" t="s">
        <v>9</v>
      </c>
      <c r="G57" s="29" t="s">
        <v>77</v>
      </c>
      <c r="H57" s="31" t="s">
        <v>59</v>
      </c>
      <c r="K57" s="5" t="s">
        <v>11</v>
      </c>
      <c r="L57" s="2" t="s">
        <v>151</v>
      </c>
      <c r="M57" s="31" t="s">
        <v>59</v>
      </c>
    </row>
    <row r="58">
      <c r="A58" s="5" t="s">
        <v>5</v>
      </c>
      <c r="B58" s="2" t="s">
        <v>152</v>
      </c>
      <c r="C58" s="31" t="s">
        <v>59</v>
      </c>
      <c r="F58" s="6" t="s">
        <v>9</v>
      </c>
      <c r="G58" s="29" t="s">
        <v>84</v>
      </c>
      <c r="H58" s="31" t="s">
        <v>59</v>
      </c>
      <c r="K58" s="5" t="s">
        <v>11</v>
      </c>
      <c r="L58" s="2" t="s">
        <v>85</v>
      </c>
      <c r="M58" s="31" t="s">
        <v>59</v>
      </c>
    </row>
    <row r="59">
      <c r="A59" s="5" t="s">
        <v>5</v>
      </c>
      <c r="B59" s="5" t="s">
        <v>88</v>
      </c>
      <c r="C59" s="31" t="s">
        <v>59</v>
      </c>
      <c r="F59" s="6" t="s">
        <v>9</v>
      </c>
      <c r="G59" s="29" t="s">
        <v>147</v>
      </c>
      <c r="H59" s="31" t="s">
        <v>59</v>
      </c>
      <c r="K59" s="5" t="s">
        <v>11</v>
      </c>
      <c r="L59" s="2" t="s">
        <v>153</v>
      </c>
      <c r="M59" s="31" t="s">
        <v>59</v>
      </c>
    </row>
    <row r="60">
      <c r="A60" s="5" t="s">
        <v>5</v>
      </c>
      <c r="B60" s="2" t="s">
        <v>154</v>
      </c>
      <c r="C60" s="31" t="s">
        <v>59</v>
      </c>
      <c r="E60" s="5" t="s">
        <v>8</v>
      </c>
      <c r="F60" s="6" t="s">
        <v>9</v>
      </c>
      <c r="G60" s="29" t="s">
        <v>155</v>
      </c>
      <c r="H60" s="31" t="s">
        <v>59</v>
      </c>
      <c r="K60" s="5" t="s">
        <v>11</v>
      </c>
      <c r="L60" s="29" t="s">
        <v>156</v>
      </c>
      <c r="M60" s="31" t="s">
        <v>59</v>
      </c>
    </row>
    <row r="61">
      <c r="A61" s="5" t="s">
        <v>5</v>
      </c>
      <c r="B61" s="2" t="s">
        <v>91</v>
      </c>
      <c r="C61" s="31" t="s">
        <v>59</v>
      </c>
      <c r="F61" s="6" t="s">
        <v>9</v>
      </c>
      <c r="G61" s="29"/>
      <c r="H61" s="31"/>
      <c r="M61" s="31"/>
    </row>
    <row r="62">
      <c r="A62" s="5" t="s">
        <v>5</v>
      </c>
      <c r="B62" s="2" t="s">
        <v>157</v>
      </c>
      <c r="C62" s="31" t="s">
        <v>59</v>
      </c>
      <c r="E62" s="5" t="s">
        <v>8</v>
      </c>
      <c r="F62" s="6" t="s">
        <v>9</v>
      </c>
      <c r="G62" s="29" t="s">
        <v>82</v>
      </c>
      <c r="H62" s="31" t="s">
        <v>59</v>
      </c>
      <c r="K62" s="5" t="s">
        <v>11</v>
      </c>
      <c r="L62" s="5" t="s">
        <v>92</v>
      </c>
      <c r="M62" s="31" t="s">
        <v>59</v>
      </c>
    </row>
    <row r="63">
      <c r="A63" s="5" t="s">
        <v>5</v>
      </c>
      <c r="F63" s="6" t="s">
        <v>9</v>
      </c>
      <c r="G63" s="32" t="s">
        <v>89</v>
      </c>
      <c r="H63" s="31" t="s">
        <v>59</v>
      </c>
      <c r="K63" s="5" t="s">
        <v>11</v>
      </c>
      <c r="L63" s="2"/>
      <c r="M63" s="31"/>
    </row>
    <row r="64">
      <c r="A64" s="5" t="s">
        <v>5</v>
      </c>
      <c r="B64" s="2" t="s">
        <v>158</v>
      </c>
      <c r="C64" s="31" t="s">
        <v>59</v>
      </c>
      <c r="E64" s="5" t="s">
        <v>8</v>
      </c>
      <c r="F64" s="6" t="s">
        <v>9</v>
      </c>
      <c r="G64" s="29" t="s">
        <v>156</v>
      </c>
      <c r="H64" s="31" t="s">
        <v>59</v>
      </c>
      <c r="K64" s="5" t="s">
        <v>11</v>
      </c>
      <c r="L64" s="2" t="s">
        <v>154</v>
      </c>
      <c r="M64" s="31" t="s">
        <v>59</v>
      </c>
    </row>
    <row r="65">
      <c r="A65" s="5" t="s">
        <v>5</v>
      </c>
      <c r="B65" s="2" t="s">
        <v>103</v>
      </c>
      <c r="C65" s="31" t="s">
        <v>59</v>
      </c>
      <c r="F65" s="6" t="s">
        <v>9</v>
      </c>
      <c r="G65" s="29" t="s">
        <v>90</v>
      </c>
      <c r="H65" s="31" t="s">
        <v>59</v>
      </c>
      <c r="K65" s="5" t="s">
        <v>11</v>
      </c>
      <c r="L65" s="2" t="s">
        <v>91</v>
      </c>
      <c r="M65" s="31" t="s">
        <v>59</v>
      </c>
    </row>
    <row r="66">
      <c r="A66" s="5" t="s">
        <v>5</v>
      </c>
      <c r="B66" s="2" t="s">
        <v>104</v>
      </c>
      <c r="C66" s="31" t="s">
        <v>59</v>
      </c>
      <c r="E66" s="5" t="s">
        <v>8</v>
      </c>
      <c r="F66" s="6" t="s">
        <v>9</v>
      </c>
      <c r="G66" s="29" t="s">
        <v>154</v>
      </c>
      <c r="H66" s="31" t="s">
        <v>59</v>
      </c>
      <c r="K66" s="5" t="s">
        <v>11</v>
      </c>
      <c r="L66" s="2" t="s">
        <v>157</v>
      </c>
      <c r="M66" s="31" t="s">
        <v>59</v>
      </c>
    </row>
    <row r="67">
      <c r="A67" s="5" t="s">
        <v>5</v>
      </c>
      <c r="B67" s="2" t="s">
        <v>159</v>
      </c>
      <c r="C67" s="31" t="s">
        <v>59</v>
      </c>
      <c r="E67" s="5" t="s">
        <v>8</v>
      </c>
      <c r="F67" s="6" t="s">
        <v>9</v>
      </c>
      <c r="G67" s="29" t="s">
        <v>91</v>
      </c>
      <c r="H67" s="31" t="s">
        <v>59</v>
      </c>
      <c r="K67" s="5" t="s">
        <v>11</v>
      </c>
      <c r="L67" s="2" t="s">
        <v>160</v>
      </c>
      <c r="M67" s="31" t="s">
        <v>59</v>
      </c>
    </row>
    <row r="68">
      <c r="A68" s="5" t="s">
        <v>5</v>
      </c>
      <c r="B68" s="5" t="s">
        <v>161</v>
      </c>
      <c r="C68" s="31" t="s">
        <v>59</v>
      </c>
      <c r="E68" s="5" t="s">
        <v>8</v>
      </c>
      <c r="F68" s="6" t="s">
        <v>9</v>
      </c>
      <c r="G68" s="29" t="s">
        <v>157</v>
      </c>
      <c r="H68" s="31" t="s">
        <v>59</v>
      </c>
      <c r="K68" s="5" t="s">
        <v>11</v>
      </c>
      <c r="L68" s="2" t="s">
        <v>159</v>
      </c>
      <c r="M68" s="31" t="s">
        <v>59</v>
      </c>
    </row>
    <row r="69">
      <c r="A69" s="5" t="s">
        <v>5</v>
      </c>
      <c r="B69" s="5" t="s">
        <v>162</v>
      </c>
      <c r="C69" s="31" t="s">
        <v>59</v>
      </c>
      <c r="F69" s="6" t="s">
        <v>9</v>
      </c>
      <c r="G69" s="2" t="s">
        <v>158</v>
      </c>
      <c r="H69" s="31" t="s">
        <v>59</v>
      </c>
      <c r="K69" s="5" t="s">
        <v>11</v>
      </c>
      <c r="L69" s="5" t="s">
        <v>161</v>
      </c>
      <c r="M69" s="31" t="s">
        <v>59</v>
      </c>
    </row>
    <row r="70">
      <c r="A70" s="5" t="s">
        <v>5</v>
      </c>
      <c r="B70" s="2" t="s">
        <v>163</v>
      </c>
      <c r="C70" s="31" t="s">
        <v>59</v>
      </c>
      <c r="F70" s="6" t="s">
        <v>9</v>
      </c>
      <c r="G70" s="29" t="s">
        <v>101</v>
      </c>
      <c r="H70" s="31" t="s">
        <v>59</v>
      </c>
      <c r="K70" s="5" t="s">
        <v>11</v>
      </c>
      <c r="L70" s="5" t="s">
        <v>164</v>
      </c>
      <c r="M70" s="31" t="s">
        <v>59</v>
      </c>
    </row>
    <row r="71">
      <c r="A71" s="5" t="s">
        <v>5</v>
      </c>
      <c r="B71" s="32" t="s">
        <v>109</v>
      </c>
      <c r="C71" s="31" t="s">
        <v>59</v>
      </c>
      <c r="E71" s="5" t="s">
        <v>8</v>
      </c>
      <c r="F71" s="6" t="s">
        <v>9</v>
      </c>
      <c r="G71" s="29" t="s">
        <v>159</v>
      </c>
      <c r="H71" s="31" t="s">
        <v>59</v>
      </c>
      <c r="K71" s="5" t="s">
        <v>11</v>
      </c>
      <c r="L71" s="2" t="s">
        <v>162</v>
      </c>
      <c r="M71" s="31" t="s">
        <v>59</v>
      </c>
    </row>
    <row r="72">
      <c r="A72" s="5" t="s">
        <v>5</v>
      </c>
      <c r="B72" s="2" t="s">
        <v>96</v>
      </c>
      <c r="C72" s="31" t="s">
        <v>59</v>
      </c>
      <c r="E72" s="5" t="s">
        <v>8</v>
      </c>
      <c r="F72" s="6" t="s">
        <v>9</v>
      </c>
      <c r="G72" s="5" t="s">
        <v>161</v>
      </c>
      <c r="H72" s="31" t="s">
        <v>59</v>
      </c>
      <c r="K72" s="5" t="s">
        <v>11</v>
      </c>
      <c r="L72" s="2" t="s">
        <v>165</v>
      </c>
      <c r="M72" s="31" t="s">
        <v>59</v>
      </c>
    </row>
    <row r="73">
      <c r="A73" s="5" t="s">
        <v>5</v>
      </c>
      <c r="B73" s="33" t="s">
        <v>166</v>
      </c>
      <c r="C73" s="31" t="s">
        <v>59</v>
      </c>
      <c r="F73" s="6" t="s">
        <v>9</v>
      </c>
      <c r="G73" s="29" t="s">
        <v>167</v>
      </c>
      <c r="H73" s="31" t="s">
        <v>59</v>
      </c>
      <c r="K73" s="5" t="s">
        <v>11</v>
      </c>
      <c r="L73" s="2" t="s">
        <v>163</v>
      </c>
      <c r="M73" s="31" t="s">
        <v>59</v>
      </c>
    </row>
    <row r="74">
      <c r="A74" s="5" t="s">
        <v>5</v>
      </c>
      <c r="B74" s="5" t="s">
        <v>111</v>
      </c>
      <c r="C74" s="31" t="s">
        <v>59</v>
      </c>
      <c r="E74" s="5" t="s">
        <v>8</v>
      </c>
      <c r="F74" s="6" t="s">
        <v>9</v>
      </c>
      <c r="G74" s="29" t="s">
        <v>107</v>
      </c>
      <c r="H74" s="31" t="s">
        <v>59</v>
      </c>
      <c r="K74" s="5" t="s">
        <v>11</v>
      </c>
      <c r="L74" s="2" t="s">
        <v>94</v>
      </c>
      <c r="M74" s="31" t="s">
        <v>59</v>
      </c>
    </row>
    <row r="75">
      <c r="A75" s="5" t="s">
        <v>5</v>
      </c>
      <c r="B75" s="2" t="s">
        <v>112</v>
      </c>
      <c r="C75" s="31" t="s">
        <v>59</v>
      </c>
      <c r="F75" s="5" t="s">
        <v>9</v>
      </c>
      <c r="G75" s="41" t="s">
        <v>162</v>
      </c>
      <c r="H75" s="31" t="s">
        <v>59</v>
      </c>
      <c r="K75" s="5" t="s">
        <v>11</v>
      </c>
      <c r="L75" s="42" t="s">
        <v>166</v>
      </c>
      <c r="M75" s="31" t="s">
        <v>59</v>
      </c>
    </row>
    <row r="76">
      <c r="A76" s="5" t="s">
        <v>5</v>
      </c>
      <c r="B76" s="32" t="s">
        <v>114</v>
      </c>
      <c r="C76" s="31" t="s">
        <v>59</v>
      </c>
      <c r="E76" s="5" t="s">
        <v>8</v>
      </c>
      <c r="F76" s="5" t="s">
        <v>9</v>
      </c>
      <c r="G76" s="29" t="s">
        <v>168</v>
      </c>
      <c r="H76" s="31" t="s">
        <v>59</v>
      </c>
      <c r="K76" s="5" t="s">
        <v>11</v>
      </c>
      <c r="L76" s="5" t="s">
        <v>169</v>
      </c>
      <c r="M76" s="31" t="s">
        <v>59</v>
      </c>
    </row>
    <row r="77">
      <c r="A77" s="5" t="s">
        <v>5</v>
      </c>
      <c r="B77" s="2" t="s">
        <v>170</v>
      </c>
      <c r="C77" s="31" t="s">
        <v>59</v>
      </c>
      <c r="E77" s="5" t="s">
        <v>8</v>
      </c>
      <c r="F77" s="5" t="s">
        <v>9</v>
      </c>
      <c r="G77" s="29" t="s">
        <v>163</v>
      </c>
      <c r="H77" s="31" t="s">
        <v>59</v>
      </c>
      <c r="L77" s="2"/>
      <c r="M77" s="31"/>
    </row>
    <row r="78">
      <c r="A78" s="5" t="s">
        <v>5</v>
      </c>
      <c r="B78" s="2" t="s">
        <v>90</v>
      </c>
      <c r="C78" s="31" t="s">
        <v>59</v>
      </c>
      <c r="E78" s="5" t="s">
        <v>8</v>
      </c>
      <c r="F78" s="5" t="s">
        <v>9</v>
      </c>
      <c r="G78" s="29" t="s">
        <v>94</v>
      </c>
      <c r="H78" s="31" t="s">
        <v>59</v>
      </c>
    </row>
    <row r="79">
      <c r="B79" s="6"/>
      <c r="C79" s="43"/>
      <c r="E79" s="38"/>
      <c r="F79" s="5" t="s">
        <v>9</v>
      </c>
      <c r="G79" s="32" t="s">
        <v>109</v>
      </c>
      <c r="H79" s="31" t="s">
        <v>59</v>
      </c>
    </row>
    <row r="80">
      <c r="A80" s="2"/>
      <c r="F80" s="5" t="s">
        <v>9</v>
      </c>
      <c r="G80" s="29" t="s">
        <v>96</v>
      </c>
      <c r="H80" s="31" t="s">
        <v>59</v>
      </c>
    </row>
    <row r="81">
      <c r="A81" s="2"/>
      <c r="F81" s="5" t="s">
        <v>9</v>
      </c>
      <c r="G81" s="29" t="s">
        <v>110</v>
      </c>
      <c r="H81" s="31" t="s">
        <v>59</v>
      </c>
    </row>
    <row r="82">
      <c r="A82" s="2"/>
      <c r="F82" s="6" t="s">
        <v>9</v>
      </c>
      <c r="G82" s="29" t="s">
        <v>166</v>
      </c>
      <c r="H82" s="31" t="s">
        <v>59</v>
      </c>
    </row>
    <row r="83">
      <c r="A83" s="2"/>
      <c r="F83" s="6" t="s">
        <v>9</v>
      </c>
      <c r="G83" s="29" t="s">
        <v>171</v>
      </c>
      <c r="H83" s="31" t="s">
        <v>59</v>
      </c>
    </row>
    <row r="84">
      <c r="A84" s="2"/>
      <c r="F84" s="6" t="s">
        <v>9</v>
      </c>
      <c r="G84" s="29" t="s">
        <v>113</v>
      </c>
      <c r="H84" s="31" t="s">
        <v>59</v>
      </c>
    </row>
    <row r="85">
      <c r="A85" s="2"/>
      <c r="F85" s="6" t="s">
        <v>9</v>
      </c>
      <c r="G85" s="5" t="s">
        <v>111</v>
      </c>
      <c r="H85" s="31" t="s">
        <v>59</v>
      </c>
    </row>
    <row r="86">
      <c r="A86" s="2"/>
      <c r="F86" s="6" t="s">
        <v>9</v>
      </c>
      <c r="G86" s="29" t="s">
        <v>108</v>
      </c>
      <c r="H86" s="31" t="s">
        <v>59</v>
      </c>
    </row>
    <row r="87">
      <c r="A87" s="2"/>
      <c r="F87" s="6" t="s">
        <v>9</v>
      </c>
      <c r="G87" s="29" t="s">
        <v>170</v>
      </c>
      <c r="H87" s="31" t="s">
        <v>59</v>
      </c>
    </row>
    <row r="88">
      <c r="A88" s="2"/>
      <c r="F88" s="6" t="s">
        <v>9</v>
      </c>
      <c r="G88" s="29" t="s">
        <v>115</v>
      </c>
      <c r="H88" s="31" t="s">
        <v>59</v>
      </c>
    </row>
    <row r="89">
      <c r="A89" s="2"/>
      <c r="F89" s="6"/>
      <c r="G89" s="29"/>
      <c r="H89" s="31"/>
    </row>
    <row r="90">
      <c r="A90" s="2"/>
      <c r="G90" s="2"/>
      <c r="H90" s="31"/>
    </row>
    <row r="91">
      <c r="A91" s="2"/>
      <c r="F91" s="6"/>
      <c r="G91" s="29"/>
      <c r="H91" s="31"/>
    </row>
    <row r="92">
      <c r="A92" s="2"/>
      <c r="F92" s="6"/>
      <c r="G92" s="29"/>
      <c r="H92" s="31"/>
    </row>
    <row r="93">
      <c r="A93" s="2"/>
      <c r="F93" s="6"/>
      <c r="G93" s="29"/>
      <c r="H93" s="31"/>
    </row>
    <row r="94">
      <c r="A94" s="2"/>
      <c r="H94" s="5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3.88"/>
    <col customWidth="1" min="3" max="3" width="16.38"/>
    <col customWidth="1" min="4" max="4" width="5.75"/>
    <col customWidth="1" min="6" max="6" width="21.38"/>
    <col customWidth="1" min="7" max="7" width="9.75"/>
    <col customWidth="1" min="8" max="8" width="16.38"/>
    <col customWidth="1" min="9" max="9" width="5.75"/>
    <col customWidth="1" min="11" max="11" width="21.38"/>
    <col customWidth="1" min="12" max="12" width="9.75"/>
    <col customWidth="1" min="13" max="13" width="16.38"/>
    <col customWidth="1" min="14" max="14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172</v>
      </c>
      <c r="H1" s="1" t="s">
        <v>2</v>
      </c>
      <c r="I1" s="1" t="s">
        <v>3</v>
      </c>
      <c r="K1" s="1" t="s">
        <v>0</v>
      </c>
      <c r="L1" s="1" t="s">
        <v>172</v>
      </c>
      <c r="M1" s="1" t="s">
        <v>2</v>
      </c>
      <c r="N1" s="1" t="s">
        <v>3</v>
      </c>
    </row>
    <row r="2">
      <c r="A2" s="2" t="s">
        <v>4</v>
      </c>
      <c r="B2" s="2"/>
      <c r="C2" s="3"/>
      <c r="D2" s="4">
        <f>sum(D3:D91)</f>
        <v>70</v>
      </c>
      <c r="F2" s="5"/>
      <c r="H2" s="3"/>
      <c r="I2" s="4">
        <f>sum(I3:I91)</f>
        <v>81</v>
      </c>
      <c r="K2" s="5"/>
      <c r="M2" s="3"/>
      <c r="N2" s="4">
        <f>sum(N3:N91)</f>
        <v>52</v>
      </c>
    </row>
    <row r="3">
      <c r="A3" s="6" t="s">
        <v>5</v>
      </c>
      <c r="B3" s="8" t="s">
        <v>6</v>
      </c>
      <c r="C3" s="7" t="s">
        <v>7</v>
      </c>
      <c r="D3" s="5">
        <f>counta(B3:B5)</f>
        <v>3</v>
      </c>
      <c r="F3" s="5" t="s">
        <v>9</v>
      </c>
      <c r="G3" s="8" t="s">
        <v>10</v>
      </c>
      <c r="H3" s="37" t="s">
        <v>117</v>
      </c>
      <c r="I3" s="5">
        <f>counta(G3:G5)</f>
        <v>3</v>
      </c>
      <c r="K3" s="5" t="s">
        <v>11</v>
      </c>
      <c r="L3" s="8" t="s">
        <v>10</v>
      </c>
      <c r="M3" s="37" t="s">
        <v>117</v>
      </c>
      <c r="N3" s="5">
        <f>counta(L3:L5)</f>
        <v>1</v>
      </c>
    </row>
    <row r="4">
      <c r="A4" s="6" t="s">
        <v>5</v>
      </c>
      <c r="B4" s="8" t="s">
        <v>116</v>
      </c>
      <c r="C4" s="9" t="s">
        <v>7</v>
      </c>
      <c r="F4" s="5" t="s">
        <v>9</v>
      </c>
      <c r="G4" s="10" t="s">
        <v>13</v>
      </c>
      <c r="H4" s="11" t="s">
        <v>14</v>
      </c>
      <c r="L4" s="12"/>
      <c r="M4" s="12"/>
    </row>
    <row r="5">
      <c r="A5" s="6" t="s">
        <v>5</v>
      </c>
      <c r="B5" s="8" t="s">
        <v>12</v>
      </c>
      <c r="C5" s="9" t="s">
        <v>7</v>
      </c>
      <c r="F5" s="5" t="s">
        <v>9</v>
      </c>
      <c r="G5" s="10" t="s">
        <v>173</v>
      </c>
      <c r="H5" s="11" t="s">
        <v>14</v>
      </c>
      <c r="L5" s="12"/>
      <c r="M5" s="12"/>
    </row>
    <row r="6">
      <c r="A6" s="6"/>
      <c r="B6" s="2"/>
      <c r="C6" s="12"/>
      <c r="F6" s="6" t="s">
        <v>9</v>
      </c>
      <c r="G6" s="2" t="s">
        <v>106</v>
      </c>
      <c r="H6" s="9" t="s">
        <v>7</v>
      </c>
      <c r="K6" s="5"/>
      <c r="L6" s="2"/>
      <c r="M6" s="12"/>
    </row>
    <row r="7">
      <c r="A7" s="12"/>
      <c r="B7" s="2"/>
      <c r="C7" s="12"/>
      <c r="F7" s="5"/>
      <c r="G7" s="2"/>
      <c r="H7" s="12"/>
      <c r="K7" s="5"/>
      <c r="L7" s="2"/>
      <c r="M7" s="12"/>
    </row>
    <row r="8">
      <c r="A8" s="6" t="s">
        <v>5</v>
      </c>
      <c r="B8" s="2" t="s">
        <v>15</v>
      </c>
      <c r="C8" s="13" t="s">
        <v>16</v>
      </c>
      <c r="D8" s="5">
        <f>counta(B8:B14)</f>
        <v>7</v>
      </c>
      <c r="F8" s="5" t="s">
        <v>9</v>
      </c>
      <c r="G8" s="2" t="s">
        <v>15</v>
      </c>
      <c r="H8" s="13" t="s">
        <v>16</v>
      </c>
      <c r="I8" s="5">
        <f>counta(G8:G14)</f>
        <v>7</v>
      </c>
      <c r="K8" s="5" t="s">
        <v>11</v>
      </c>
      <c r="L8" s="2" t="s">
        <v>15</v>
      </c>
      <c r="M8" s="13" t="s">
        <v>16</v>
      </c>
      <c r="N8" s="5">
        <f>counta(L8:L14)</f>
        <v>7</v>
      </c>
    </row>
    <row r="9">
      <c r="A9" s="6" t="s">
        <v>5</v>
      </c>
      <c r="B9" s="2" t="s">
        <v>17</v>
      </c>
      <c r="C9" s="13" t="s">
        <v>18</v>
      </c>
      <c r="F9" s="5" t="s">
        <v>9</v>
      </c>
      <c r="G9" s="2" t="s">
        <v>17</v>
      </c>
      <c r="H9" s="13" t="s">
        <v>18</v>
      </c>
      <c r="K9" s="5" t="s">
        <v>11</v>
      </c>
      <c r="L9" s="2" t="s">
        <v>17</v>
      </c>
      <c r="M9" s="13" t="s">
        <v>18</v>
      </c>
    </row>
    <row r="10">
      <c r="A10" s="6" t="s">
        <v>5</v>
      </c>
      <c r="B10" s="2" t="s">
        <v>19</v>
      </c>
      <c r="C10" s="13" t="s">
        <v>20</v>
      </c>
      <c r="F10" s="5" t="s">
        <v>9</v>
      </c>
      <c r="G10" s="2" t="s">
        <v>19</v>
      </c>
      <c r="H10" s="13" t="s">
        <v>20</v>
      </c>
      <c r="K10" s="5" t="s">
        <v>11</v>
      </c>
      <c r="L10" s="2" t="s">
        <v>19</v>
      </c>
      <c r="M10" s="13" t="s">
        <v>20</v>
      </c>
    </row>
    <row r="11">
      <c r="A11" s="6" t="s">
        <v>5</v>
      </c>
      <c r="B11" s="2" t="s">
        <v>21</v>
      </c>
      <c r="C11" s="13" t="s">
        <v>22</v>
      </c>
      <c r="F11" s="5" t="s">
        <v>9</v>
      </c>
      <c r="G11" s="2" t="s">
        <v>21</v>
      </c>
      <c r="H11" s="13" t="s">
        <v>22</v>
      </c>
      <c r="K11" s="5" t="s">
        <v>11</v>
      </c>
      <c r="L11" s="2" t="s">
        <v>21</v>
      </c>
      <c r="M11" s="13" t="s">
        <v>22</v>
      </c>
    </row>
    <row r="12">
      <c r="A12" s="6" t="s">
        <v>5</v>
      </c>
      <c r="B12" s="2" t="s">
        <v>23</v>
      </c>
      <c r="C12" s="13" t="s">
        <v>24</v>
      </c>
      <c r="F12" s="5" t="s">
        <v>9</v>
      </c>
      <c r="G12" s="2" t="s">
        <v>23</v>
      </c>
      <c r="H12" s="13" t="s">
        <v>24</v>
      </c>
      <c r="K12" s="5" t="s">
        <v>11</v>
      </c>
      <c r="L12" s="2" t="s">
        <v>23</v>
      </c>
      <c r="M12" s="13" t="s">
        <v>24</v>
      </c>
    </row>
    <row r="13">
      <c r="A13" s="6" t="s">
        <v>5</v>
      </c>
      <c r="B13" s="2" t="s">
        <v>25</v>
      </c>
      <c r="C13" s="13" t="s">
        <v>24</v>
      </c>
      <c r="F13" s="5" t="s">
        <v>9</v>
      </c>
      <c r="G13" s="2" t="s">
        <v>25</v>
      </c>
      <c r="H13" s="13" t="s">
        <v>24</v>
      </c>
      <c r="K13" s="5" t="s">
        <v>11</v>
      </c>
      <c r="L13" s="2" t="s">
        <v>25</v>
      </c>
      <c r="M13" s="13" t="s">
        <v>24</v>
      </c>
    </row>
    <row r="14">
      <c r="A14" s="6" t="s">
        <v>5</v>
      </c>
      <c r="B14" s="2" t="s">
        <v>26</v>
      </c>
      <c r="C14" s="13" t="s">
        <v>24</v>
      </c>
      <c r="F14" s="5" t="s">
        <v>9</v>
      </c>
      <c r="G14" s="2" t="s">
        <v>26</v>
      </c>
      <c r="H14" s="13" t="s">
        <v>24</v>
      </c>
      <c r="K14" s="5" t="s">
        <v>11</v>
      </c>
      <c r="L14" s="2" t="s">
        <v>26</v>
      </c>
      <c r="M14" s="13" t="s">
        <v>24</v>
      </c>
    </row>
    <row r="15">
      <c r="A15" s="12"/>
      <c r="B15" s="2"/>
      <c r="C15" s="12"/>
      <c r="F15" s="5"/>
      <c r="G15" s="2"/>
      <c r="K15" s="5"/>
      <c r="M15" s="5"/>
    </row>
    <row r="16">
      <c r="A16" s="6" t="s">
        <v>5</v>
      </c>
      <c r="B16" s="2" t="s">
        <v>174</v>
      </c>
      <c r="C16" s="14" t="s">
        <v>28</v>
      </c>
      <c r="D16" s="5">
        <f>counta(B16:B36)</f>
        <v>19</v>
      </c>
      <c r="F16" s="5" t="s">
        <v>9</v>
      </c>
      <c r="G16" s="15" t="s">
        <v>174</v>
      </c>
      <c r="H16" s="14" t="s">
        <v>28</v>
      </c>
      <c r="I16" s="5">
        <f>counta(G16:G36)</f>
        <v>19</v>
      </c>
      <c r="K16" s="5" t="s">
        <v>11</v>
      </c>
      <c r="L16" s="15" t="s">
        <v>120</v>
      </c>
      <c r="M16" s="18" t="s">
        <v>28</v>
      </c>
      <c r="N16" s="5">
        <f>counta(L16:L36)</f>
        <v>19</v>
      </c>
    </row>
    <row r="17">
      <c r="A17" s="6" t="s">
        <v>5</v>
      </c>
      <c r="B17" s="2" t="s">
        <v>29</v>
      </c>
      <c r="C17" s="14" t="s">
        <v>30</v>
      </c>
      <c r="F17" s="5" t="s">
        <v>9</v>
      </c>
      <c r="G17" s="19" t="s">
        <v>29</v>
      </c>
      <c r="H17" s="14" t="s">
        <v>30</v>
      </c>
      <c r="K17" s="5" t="s">
        <v>11</v>
      </c>
      <c r="L17" s="15" t="s">
        <v>29</v>
      </c>
      <c r="M17" s="14" t="s">
        <v>30</v>
      </c>
    </row>
    <row r="18">
      <c r="A18" s="6" t="s">
        <v>5</v>
      </c>
      <c r="B18" s="2" t="s">
        <v>175</v>
      </c>
      <c r="C18" s="14" t="s">
        <v>28</v>
      </c>
      <c r="F18" s="5" t="s">
        <v>9</v>
      </c>
      <c r="G18" s="20" t="s">
        <v>32</v>
      </c>
      <c r="H18" s="14" t="s">
        <v>30</v>
      </c>
      <c r="K18" s="5" t="s">
        <v>11</v>
      </c>
      <c r="L18" s="20" t="s">
        <v>175</v>
      </c>
      <c r="M18" s="17" t="s">
        <v>28</v>
      </c>
    </row>
    <row r="19">
      <c r="A19" s="6" t="s">
        <v>5</v>
      </c>
      <c r="B19" s="2" t="s">
        <v>32</v>
      </c>
      <c r="C19" s="14" t="s">
        <v>30</v>
      </c>
      <c r="F19" s="5" t="s">
        <v>9</v>
      </c>
      <c r="G19" s="15" t="s">
        <v>176</v>
      </c>
      <c r="H19" s="14" t="s">
        <v>28</v>
      </c>
      <c r="K19" s="5" t="s">
        <v>34</v>
      </c>
      <c r="L19" s="19" t="s">
        <v>177</v>
      </c>
      <c r="M19" s="17" t="s">
        <v>28</v>
      </c>
    </row>
    <row r="20">
      <c r="A20" s="6" t="s">
        <v>5</v>
      </c>
      <c r="B20" s="2" t="s">
        <v>35</v>
      </c>
      <c r="C20" s="14" t="s">
        <v>28</v>
      </c>
      <c r="F20" s="5" t="s">
        <v>9</v>
      </c>
      <c r="G20" s="19" t="s">
        <v>178</v>
      </c>
      <c r="H20" s="14" t="s">
        <v>30</v>
      </c>
      <c r="K20" s="5" t="s">
        <v>34</v>
      </c>
      <c r="L20" s="15" t="s">
        <v>32</v>
      </c>
      <c r="M20" s="14" t="s">
        <v>30</v>
      </c>
      <c r="P20" s="6"/>
    </row>
    <row r="21">
      <c r="A21" s="6" t="s">
        <v>5</v>
      </c>
      <c r="B21" s="2" t="s">
        <v>179</v>
      </c>
      <c r="C21" s="14" t="s">
        <v>28</v>
      </c>
      <c r="F21" s="5" t="s">
        <v>9</v>
      </c>
      <c r="G21" s="15" t="s">
        <v>35</v>
      </c>
      <c r="H21" s="14" t="s">
        <v>28</v>
      </c>
      <c r="K21" s="5" t="s">
        <v>34</v>
      </c>
      <c r="L21" s="16" t="s">
        <v>176</v>
      </c>
      <c r="M21" s="17" t="s">
        <v>28</v>
      </c>
      <c r="P21" s="6"/>
    </row>
    <row r="22">
      <c r="A22" s="6" t="s">
        <v>5</v>
      </c>
      <c r="B22" s="2" t="s">
        <v>180</v>
      </c>
      <c r="C22" s="14" t="s">
        <v>28</v>
      </c>
      <c r="F22" s="5" t="s">
        <v>9</v>
      </c>
      <c r="G22" s="20" t="s">
        <v>181</v>
      </c>
      <c r="H22" s="14" t="s">
        <v>28</v>
      </c>
      <c r="K22" s="5" t="s">
        <v>34</v>
      </c>
      <c r="L22" s="23" t="s">
        <v>178</v>
      </c>
      <c r="M22" s="17" t="s">
        <v>28</v>
      </c>
    </row>
    <row r="23">
      <c r="A23" s="6"/>
      <c r="B23" s="2"/>
      <c r="C23" s="14"/>
      <c r="F23" s="5" t="s">
        <v>9</v>
      </c>
      <c r="G23" s="21" t="s">
        <v>179</v>
      </c>
      <c r="H23" s="14" t="s">
        <v>28</v>
      </c>
      <c r="K23" s="5" t="s">
        <v>34</v>
      </c>
      <c r="L23" s="15" t="s">
        <v>35</v>
      </c>
      <c r="M23" s="18" t="s">
        <v>28</v>
      </c>
    </row>
    <row r="24">
      <c r="A24" s="6" t="s">
        <v>5</v>
      </c>
      <c r="B24" s="2" t="s">
        <v>56</v>
      </c>
      <c r="C24" s="14" t="s">
        <v>28</v>
      </c>
      <c r="F24" s="5" t="s">
        <v>9</v>
      </c>
      <c r="G24" s="15" t="s">
        <v>180</v>
      </c>
      <c r="H24" s="14" t="s">
        <v>28</v>
      </c>
      <c r="K24" s="5" t="s">
        <v>34</v>
      </c>
      <c r="L24" s="23" t="s">
        <v>181</v>
      </c>
      <c r="M24" s="17" t="s">
        <v>28</v>
      </c>
    </row>
    <row r="25">
      <c r="A25" s="6" t="s">
        <v>5</v>
      </c>
      <c r="B25" s="2" t="s">
        <v>182</v>
      </c>
      <c r="C25" s="14" t="s">
        <v>28</v>
      </c>
      <c r="G25" s="19"/>
      <c r="H25" s="14"/>
      <c r="K25" s="5" t="s">
        <v>34</v>
      </c>
      <c r="L25" s="20" t="s">
        <v>182</v>
      </c>
      <c r="M25" s="18" t="s">
        <v>28</v>
      </c>
    </row>
    <row r="26">
      <c r="A26" s="6"/>
      <c r="B26" s="2"/>
      <c r="C26" s="14"/>
      <c r="F26" s="5" t="s">
        <v>9</v>
      </c>
      <c r="G26" s="15" t="s">
        <v>182</v>
      </c>
      <c r="H26" s="14" t="s">
        <v>28</v>
      </c>
      <c r="K26" s="5" t="s">
        <v>34</v>
      </c>
      <c r="L26" s="27" t="s">
        <v>183</v>
      </c>
      <c r="M26" s="17" t="s">
        <v>28</v>
      </c>
    </row>
    <row r="27">
      <c r="A27" s="6" t="s">
        <v>5</v>
      </c>
      <c r="B27" s="2" t="s">
        <v>37</v>
      </c>
      <c r="C27" s="14" t="s">
        <v>30</v>
      </c>
      <c r="F27" s="5" t="s">
        <v>9</v>
      </c>
      <c r="G27" s="15" t="s">
        <v>184</v>
      </c>
      <c r="H27" s="14" t="s">
        <v>28</v>
      </c>
      <c r="K27" s="5" t="s">
        <v>34</v>
      </c>
      <c r="L27" s="27" t="s">
        <v>37</v>
      </c>
      <c r="M27" s="14" t="s">
        <v>30</v>
      </c>
    </row>
    <row r="28">
      <c r="A28" s="6" t="s">
        <v>5</v>
      </c>
      <c r="B28" s="2" t="s">
        <v>129</v>
      </c>
      <c r="C28" s="14" t="s">
        <v>28</v>
      </c>
      <c r="G28" s="15"/>
      <c r="H28" s="14"/>
      <c r="K28" s="5" t="s">
        <v>34</v>
      </c>
      <c r="L28" s="26" t="s">
        <v>185</v>
      </c>
      <c r="M28" s="17" t="s">
        <v>28</v>
      </c>
    </row>
    <row r="29">
      <c r="A29" s="6" t="s">
        <v>5</v>
      </c>
      <c r="B29" s="2" t="s">
        <v>133</v>
      </c>
      <c r="C29" s="14" t="s">
        <v>28</v>
      </c>
      <c r="F29" s="5" t="s">
        <v>9</v>
      </c>
      <c r="G29" s="25" t="s">
        <v>185</v>
      </c>
      <c r="H29" s="14" t="s">
        <v>28</v>
      </c>
      <c r="K29" s="5" t="s">
        <v>34</v>
      </c>
      <c r="L29" s="25" t="s">
        <v>186</v>
      </c>
      <c r="M29" s="14" t="s">
        <v>28</v>
      </c>
    </row>
    <row r="30">
      <c r="A30" s="6" t="s">
        <v>5</v>
      </c>
      <c r="B30" s="2" t="s">
        <v>43</v>
      </c>
      <c r="C30" s="14" t="s">
        <v>28</v>
      </c>
      <c r="F30" s="5" t="s">
        <v>9</v>
      </c>
      <c r="G30" s="25" t="s">
        <v>186</v>
      </c>
      <c r="H30" s="14" t="s">
        <v>28</v>
      </c>
      <c r="K30" s="5" t="s">
        <v>34</v>
      </c>
      <c r="L30" s="27" t="s">
        <v>40</v>
      </c>
      <c r="M30" s="14" t="s">
        <v>28</v>
      </c>
    </row>
    <row r="31">
      <c r="A31" s="6" t="s">
        <v>5</v>
      </c>
      <c r="B31" s="2" t="s">
        <v>187</v>
      </c>
      <c r="C31" s="14" t="s">
        <v>28</v>
      </c>
      <c r="F31" s="5" t="s">
        <v>9</v>
      </c>
      <c r="G31" s="25" t="s">
        <v>40</v>
      </c>
      <c r="H31" s="14" t="s">
        <v>28</v>
      </c>
      <c r="K31" s="5" t="s">
        <v>34</v>
      </c>
      <c r="L31" s="27" t="s">
        <v>188</v>
      </c>
      <c r="M31" s="14" t="s">
        <v>28</v>
      </c>
    </row>
    <row r="32">
      <c r="A32" s="6" t="s">
        <v>5</v>
      </c>
      <c r="B32" s="2" t="s">
        <v>54</v>
      </c>
      <c r="C32" s="14" t="s">
        <v>28</v>
      </c>
      <c r="F32" s="5" t="s">
        <v>9</v>
      </c>
      <c r="G32" s="25" t="s">
        <v>188</v>
      </c>
      <c r="H32" s="14" t="s">
        <v>28</v>
      </c>
      <c r="L32" s="25"/>
      <c r="M32" s="14"/>
    </row>
    <row r="33">
      <c r="A33" s="6" t="s">
        <v>5</v>
      </c>
      <c r="B33" s="2" t="s">
        <v>51</v>
      </c>
      <c r="C33" s="14" t="s">
        <v>30</v>
      </c>
      <c r="F33" s="5" t="s">
        <v>9</v>
      </c>
      <c r="G33" s="25" t="s">
        <v>43</v>
      </c>
      <c r="H33" s="14" t="s">
        <v>28</v>
      </c>
      <c r="K33" s="5" t="s">
        <v>34</v>
      </c>
      <c r="L33" s="28" t="s">
        <v>189</v>
      </c>
      <c r="M33" s="18" t="s">
        <v>28</v>
      </c>
    </row>
    <row r="34">
      <c r="A34" s="6" t="s">
        <v>5</v>
      </c>
      <c r="B34" s="2" t="s">
        <v>190</v>
      </c>
      <c r="C34" s="14" t="s">
        <v>28</v>
      </c>
      <c r="F34" s="5" t="s">
        <v>9</v>
      </c>
      <c r="G34" s="28" t="s">
        <v>189</v>
      </c>
      <c r="H34" s="14" t="s">
        <v>28</v>
      </c>
      <c r="K34" s="5" t="s">
        <v>34</v>
      </c>
      <c r="L34" s="27" t="s">
        <v>51</v>
      </c>
      <c r="M34" s="14" t="s">
        <v>30</v>
      </c>
    </row>
    <row r="35">
      <c r="A35" s="6" t="s">
        <v>5</v>
      </c>
      <c r="B35" s="2" t="s">
        <v>13</v>
      </c>
      <c r="C35" s="14" t="s">
        <v>28</v>
      </c>
      <c r="F35" s="5" t="s">
        <v>9</v>
      </c>
      <c r="G35" s="25" t="s">
        <v>51</v>
      </c>
      <c r="H35" s="14" t="s">
        <v>30</v>
      </c>
      <c r="K35" s="5" t="s">
        <v>11</v>
      </c>
      <c r="L35" s="2" t="s">
        <v>134</v>
      </c>
      <c r="M35" s="14" t="s">
        <v>28</v>
      </c>
    </row>
    <row r="36">
      <c r="A36" s="6" t="s">
        <v>5</v>
      </c>
      <c r="B36" s="2" t="s">
        <v>134</v>
      </c>
      <c r="C36" s="14" t="s">
        <v>28</v>
      </c>
      <c r="F36" s="5" t="s">
        <v>9</v>
      </c>
      <c r="G36" s="2" t="s">
        <v>190</v>
      </c>
      <c r="H36" s="14" t="s">
        <v>28</v>
      </c>
    </row>
    <row r="37">
      <c r="F37" s="5" t="s">
        <v>9</v>
      </c>
      <c r="G37" s="2" t="s">
        <v>134</v>
      </c>
      <c r="H37" s="14" t="s">
        <v>28</v>
      </c>
    </row>
    <row r="39">
      <c r="A39" s="5" t="s">
        <v>5</v>
      </c>
      <c r="B39" s="2" t="s">
        <v>191</v>
      </c>
      <c r="C39" s="31" t="s">
        <v>59</v>
      </c>
      <c r="D39" s="5">
        <f>counta(B39:B102)</f>
        <v>41</v>
      </c>
      <c r="F39" s="5" t="s">
        <v>9</v>
      </c>
      <c r="G39" s="2" t="s">
        <v>191</v>
      </c>
      <c r="H39" s="31" t="s">
        <v>59</v>
      </c>
      <c r="I39" s="5">
        <f>counta(G39:G102)</f>
        <v>52</v>
      </c>
      <c r="K39" s="5" t="s">
        <v>11</v>
      </c>
      <c r="L39" s="2" t="s">
        <v>60</v>
      </c>
      <c r="M39" s="31" t="s">
        <v>59</v>
      </c>
      <c r="N39" s="5">
        <f>counta(L39:L102)</f>
        <v>25</v>
      </c>
    </row>
    <row r="40">
      <c r="A40" s="5" t="s">
        <v>5</v>
      </c>
      <c r="B40" s="2" t="s">
        <v>64</v>
      </c>
      <c r="C40" s="31" t="s">
        <v>59</v>
      </c>
      <c r="F40" s="5" t="s">
        <v>9</v>
      </c>
      <c r="G40" s="2" t="s">
        <v>62</v>
      </c>
      <c r="H40" s="31" t="s">
        <v>59</v>
      </c>
      <c r="K40" s="5" t="s">
        <v>11</v>
      </c>
      <c r="L40" s="2" t="s">
        <v>62</v>
      </c>
      <c r="M40" s="31" t="s">
        <v>59</v>
      </c>
    </row>
    <row r="41">
      <c r="A41" s="5" t="s">
        <v>5</v>
      </c>
      <c r="B41" s="2" t="s">
        <v>61</v>
      </c>
      <c r="C41" s="31" t="s">
        <v>59</v>
      </c>
      <c r="F41" s="5" t="s">
        <v>9</v>
      </c>
      <c r="G41" s="2" t="s">
        <v>64</v>
      </c>
      <c r="H41" s="31" t="s">
        <v>59</v>
      </c>
      <c r="K41" s="5" t="s">
        <v>11</v>
      </c>
      <c r="L41" s="2"/>
      <c r="M41" s="31" t="s">
        <v>59</v>
      </c>
    </row>
    <row r="42">
      <c r="A42" s="5" t="s">
        <v>5</v>
      </c>
      <c r="B42" s="2" t="s">
        <v>192</v>
      </c>
      <c r="C42" s="31" t="s">
        <v>59</v>
      </c>
      <c r="F42" s="5" t="s">
        <v>9</v>
      </c>
      <c r="G42" s="2" t="s">
        <v>61</v>
      </c>
      <c r="H42" s="31" t="s">
        <v>59</v>
      </c>
      <c r="K42" s="5" t="s">
        <v>11</v>
      </c>
      <c r="L42" s="44" t="s">
        <v>193</v>
      </c>
      <c r="M42" s="31" t="s">
        <v>59</v>
      </c>
    </row>
    <row r="43">
      <c r="A43" s="5" t="s">
        <v>5</v>
      </c>
      <c r="B43" s="2" t="s">
        <v>63</v>
      </c>
      <c r="C43" s="31" t="s">
        <v>59</v>
      </c>
      <c r="F43" s="5" t="s">
        <v>9</v>
      </c>
      <c r="G43" s="2" t="s">
        <v>192</v>
      </c>
      <c r="H43" s="31" t="s">
        <v>59</v>
      </c>
      <c r="K43" s="5" t="s">
        <v>11</v>
      </c>
      <c r="L43" s="2" t="s">
        <v>194</v>
      </c>
      <c r="M43" s="31" t="s">
        <v>59</v>
      </c>
    </row>
    <row r="44">
      <c r="A44" s="5" t="s">
        <v>5</v>
      </c>
      <c r="B44" s="2" t="s">
        <v>194</v>
      </c>
      <c r="C44" s="31" t="s">
        <v>59</v>
      </c>
      <c r="F44" s="5" t="s">
        <v>9</v>
      </c>
      <c r="G44" s="2" t="s">
        <v>139</v>
      </c>
      <c r="H44" s="31" t="s">
        <v>59</v>
      </c>
      <c r="K44" s="5" t="s">
        <v>11</v>
      </c>
      <c r="L44" s="2" t="s">
        <v>141</v>
      </c>
      <c r="M44" s="31" t="s">
        <v>59</v>
      </c>
    </row>
    <row r="45">
      <c r="A45" s="5" t="s">
        <v>5</v>
      </c>
      <c r="B45" s="2" t="s">
        <v>67</v>
      </c>
      <c r="C45" s="31" t="s">
        <v>59</v>
      </c>
      <c r="F45" s="5" t="s">
        <v>9</v>
      </c>
      <c r="G45" s="2" t="s">
        <v>194</v>
      </c>
      <c r="H45" s="31" t="s">
        <v>59</v>
      </c>
      <c r="K45" s="5" t="s">
        <v>11</v>
      </c>
      <c r="L45" s="2" t="s">
        <v>143</v>
      </c>
      <c r="M45" s="31" t="s">
        <v>59</v>
      </c>
    </row>
    <row r="46">
      <c r="A46" s="5" t="s">
        <v>5</v>
      </c>
      <c r="B46" s="5" t="s">
        <v>74</v>
      </c>
      <c r="C46" s="31" t="s">
        <v>59</v>
      </c>
      <c r="F46" s="5" t="s">
        <v>9</v>
      </c>
      <c r="G46" s="2" t="s">
        <v>68</v>
      </c>
      <c r="H46" s="31" t="s">
        <v>59</v>
      </c>
      <c r="K46" s="5" t="s">
        <v>11</v>
      </c>
      <c r="L46" s="5" t="s">
        <v>195</v>
      </c>
      <c r="M46" s="31" t="s">
        <v>59</v>
      </c>
    </row>
    <row r="47">
      <c r="A47" s="5" t="s">
        <v>5</v>
      </c>
      <c r="B47" s="2" t="s">
        <v>195</v>
      </c>
      <c r="C47" s="31" t="s">
        <v>59</v>
      </c>
      <c r="F47" s="5" t="s">
        <v>9</v>
      </c>
      <c r="G47" s="2" t="s">
        <v>140</v>
      </c>
      <c r="H47" s="31" t="s">
        <v>59</v>
      </c>
      <c r="K47" s="5" t="s">
        <v>11</v>
      </c>
      <c r="L47" s="2" t="s">
        <v>196</v>
      </c>
      <c r="M47" s="31" t="s">
        <v>59</v>
      </c>
    </row>
    <row r="48">
      <c r="A48" s="5" t="s">
        <v>5</v>
      </c>
      <c r="B48" s="2" t="s">
        <v>76</v>
      </c>
      <c r="C48" s="31" t="s">
        <v>59</v>
      </c>
      <c r="F48" s="5" t="s">
        <v>9</v>
      </c>
      <c r="G48" s="2" t="s">
        <v>142</v>
      </c>
      <c r="H48" s="31" t="s">
        <v>59</v>
      </c>
      <c r="K48" s="5" t="s">
        <v>11</v>
      </c>
      <c r="L48" s="2" t="s">
        <v>197</v>
      </c>
      <c r="M48" s="31" t="s">
        <v>59</v>
      </c>
    </row>
    <row r="49">
      <c r="A49" s="5" t="s">
        <v>5</v>
      </c>
      <c r="B49" s="2" t="s">
        <v>81</v>
      </c>
      <c r="C49" s="34" t="s">
        <v>59</v>
      </c>
      <c r="F49" s="5" t="s">
        <v>9</v>
      </c>
      <c r="G49" s="2" t="s">
        <v>141</v>
      </c>
      <c r="H49" s="31" t="s">
        <v>59</v>
      </c>
      <c r="K49" s="5" t="s">
        <v>11</v>
      </c>
      <c r="L49" s="2" t="s">
        <v>198</v>
      </c>
      <c r="M49" s="31" t="s">
        <v>59</v>
      </c>
    </row>
    <row r="50">
      <c r="A50" s="5" t="s">
        <v>5</v>
      </c>
      <c r="B50" s="5" t="s">
        <v>196</v>
      </c>
      <c r="C50" s="31" t="s">
        <v>59</v>
      </c>
      <c r="F50" s="5" t="s">
        <v>9</v>
      </c>
      <c r="G50" s="5" t="s">
        <v>71</v>
      </c>
      <c r="H50" s="31" t="s">
        <v>59</v>
      </c>
      <c r="K50" s="5" t="s">
        <v>11</v>
      </c>
      <c r="L50" s="2" t="s">
        <v>199</v>
      </c>
      <c r="M50" s="31" t="s">
        <v>59</v>
      </c>
    </row>
    <row r="51">
      <c r="A51" s="5" t="s">
        <v>5</v>
      </c>
      <c r="B51" s="2" t="s">
        <v>197</v>
      </c>
      <c r="C51" s="31" t="s">
        <v>59</v>
      </c>
      <c r="F51" s="5" t="s">
        <v>9</v>
      </c>
      <c r="G51" s="2" t="s">
        <v>143</v>
      </c>
      <c r="H51" s="31" t="s">
        <v>59</v>
      </c>
      <c r="K51" s="5" t="s">
        <v>11</v>
      </c>
      <c r="L51" s="2" t="s">
        <v>149</v>
      </c>
      <c r="M51" s="31" t="s">
        <v>59</v>
      </c>
    </row>
    <row r="52">
      <c r="A52" s="5" t="s">
        <v>5</v>
      </c>
      <c r="B52" s="2" t="s">
        <v>75</v>
      </c>
      <c r="C52" s="31" t="s">
        <v>59</v>
      </c>
      <c r="F52" s="5" t="s">
        <v>9</v>
      </c>
      <c r="G52" s="2" t="s">
        <v>195</v>
      </c>
      <c r="H52" s="31" t="s">
        <v>59</v>
      </c>
      <c r="K52" s="5" t="s">
        <v>11</v>
      </c>
      <c r="L52" s="2" t="s">
        <v>148</v>
      </c>
      <c r="M52" s="31" t="s">
        <v>59</v>
      </c>
    </row>
    <row r="53">
      <c r="A53" s="5" t="s">
        <v>5</v>
      </c>
      <c r="B53" s="5" t="s">
        <v>200</v>
      </c>
      <c r="C53" s="31" t="s">
        <v>59</v>
      </c>
      <c r="F53" s="5" t="s">
        <v>9</v>
      </c>
      <c r="G53" s="2" t="s">
        <v>145</v>
      </c>
      <c r="H53" s="31" t="s">
        <v>59</v>
      </c>
      <c r="K53" s="5" t="s">
        <v>11</v>
      </c>
      <c r="L53" s="2" t="s">
        <v>201</v>
      </c>
      <c r="M53" s="31" t="s">
        <v>59</v>
      </c>
    </row>
    <row r="54">
      <c r="A54" s="5" t="s">
        <v>5</v>
      </c>
      <c r="B54" s="2" t="s">
        <v>198</v>
      </c>
      <c r="C54" s="31" t="s">
        <v>59</v>
      </c>
      <c r="F54" s="5" t="s">
        <v>9</v>
      </c>
      <c r="G54" s="2" t="s">
        <v>196</v>
      </c>
      <c r="H54" s="31" t="s">
        <v>59</v>
      </c>
      <c r="K54" s="5" t="s">
        <v>11</v>
      </c>
      <c r="L54" s="2" t="s">
        <v>202</v>
      </c>
      <c r="M54" s="31" t="s">
        <v>59</v>
      </c>
    </row>
    <row r="55">
      <c r="A55" s="5" t="s">
        <v>5</v>
      </c>
      <c r="B55" s="2" t="s">
        <v>150</v>
      </c>
      <c r="C55" s="31" t="s">
        <v>59</v>
      </c>
      <c r="F55" s="5" t="s">
        <v>9</v>
      </c>
      <c r="G55" s="2" t="s">
        <v>81</v>
      </c>
      <c r="H55" s="31" t="s">
        <v>59</v>
      </c>
      <c r="K55" s="5" t="s">
        <v>11</v>
      </c>
      <c r="L55" s="2" t="s">
        <v>153</v>
      </c>
      <c r="M55" s="31" t="s">
        <v>59</v>
      </c>
    </row>
    <row r="56">
      <c r="A56" s="5" t="s">
        <v>5</v>
      </c>
      <c r="B56" s="2" t="s">
        <v>203</v>
      </c>
      <c r="C56" s="31" t="s">
        <v>59</v>
      </c>
      <c r="F56" s="5" t="s">
        <v>9</v>
      </c>
      <c r="G56" s="2" t="s">
        <v>197</v>
      </c>
      <c r="H56" s="31" t="s">
        <v>59</v>
      </c>
      <c r="K56" s="5" t="s">
        <v>11</v>
      </c>
      <c r="L56" s="2" t="s">
        <v>87</v>
      </c>
      <c r="M56" s="31" t="s">
        <v>59</v>
      </c>
    </row>
    <row r="57">
      <c r="A57" s="5" t="s">
        <v>5</v>
      </c>
      <c r="B57" s="2" t="s">
        <v>151</v>
      </c>
      <c r="C57" s="31" t="s">
        <v>59</v>
      </c>
      <c r="F57" s="5" t="s">
        <v>9</v>
      </c>
      <c r="G57" s="2" t="s">
        <v>199</v>
      </c>
      <c r="H57" s="31" t="s">
        <v>59</v>
      </c>
      <c r="K57" s="5" t="s">
        <v>11</v>
      </c>
      <c r="L57" s="2" t="s">
        <v>204</v>
      </c>
      <c r="M57" s="31" t="s">
        <v>59</v>
      </c>
    </row>
    <row r="58">
      <c r="A58" s="5" t="s">
        <v>5</v>
      </c>
      <c r="B58" s="2" t="s">
        <v>153</v>
      </c>
      <c r="C58" s="31" t="s">
        <v>59</v>
      </c>
      <c r="F58" s="5" t="s">
        <v>9</v>
      </c>
      <c r="G58" s="2" t="s">
        <v>149</v>
      </c>
      <c r="H58" s="31" t="s">
        <v>59</v>
      </c>
      <c r="K58" s="5" t="s">
        <v>11</v>
      </c>
      <c r="L58" s="32" t="s">
        <v>205</v>
      </c>
      <c r="M58" s="31" t="s">
        <v>59</v>
      </c>
    </row>
    <row r="59">
      <c r="A59" s="5" t="s">
        <v>5</v>
      </c>
      <c r="B59" s="2" t="s">
        <v>152</v>
      </c>
      <c r="C59" s="31" t="s">
        <v>59</v>
      </c>
      <c r="F59" s="5" t="s">
        <v>9</v>
      </c>
      <c r="G59" s="2" t="s">
        <v>203</v>
      </c>
      <c r="H59" s="31" t="s">
        <v>59</v>
      </c>
      <c r="K59" s="5" t="s">
        <v>11</v>
      </c>
      <c r="L59" s="2" t="s">
        <v>93</v>
      </c>
      <c r="M59" s="31" t="s">
        <v>59</v>
      </c>
    </row>
    <row r="60">
      <c r="A60" s="5" t="s">
        <v>5</v>
      </c>
      <c r="B60" s="32" t="s">
        <v>206</v>
      </c>
      <c r="C60" s="31" t="s">
        <v>59</v>
      </c>
      <c r="F60" s="5" t="s">
        <v>9</v>
      </c>
      <c r="G60" s="2" t="s">
        <v>148</v>
      </c>
      <c r="H60" s="31" t="s">
        <v>59</v>
      </c>
      <c r="K60" s="5" t="s">
        <v>11</v>
      </c>
      <c r="L60" s="2" t="s">
        <v>207</v>
      </c>
      <c r="M60" s="31" t="s">
        <v>59</v>
      </c>
    </row>
    <row r="61">
      <c r="A61" s="5" t="s">
        <v>5</v>
      </c>
      <c r="B61" s="2" t="s">
        <v>204</v>
      </c>
      <c r="C61" s="31" t="s">
        <v>59</v>
      </c>
      <c r="F61" s="5" t="s">
        <v>9</v>
      </c>
      <c r="G61" s="2" t="s">
        <v>201</v>
      </c>
      <c r="H61" s="31" t="s">
        <v>59</v>
      </c>
      <c r="K61" s="5" t="s">
        <v>11</v>
      </c>
      <c r="L61" s="2"/>
      <c r="M61" s="31"/>
    </row>
    <row r="62">
      <c r="A62" s="5" t="s">
        <v>5</v>
      </c>
      <c r="B62" s="2" t="s">
        <v>10</v>
      </c>
      <c r="C62" s="31" t="s">
        <v>208</v>
      </c>
      <c r="F62" s="5" t="s">
        <v>9</v>
      </c>
      <c r="G62" s="2" t="s">
        <v>202</v>
      </c>
      <c r="H62" s="31" t="s">
        <v>59</v>
      </c>
      <c r="K62" s="5" t="s">
        <v>11</v>
      </c>
      <c r="L62" s="2" t="s">
        <v>209</v>
      </c>
      <c r="M62" s="31" t="s">
        <v>59</v>
      </c>
    </row>
    <row r="63">
      <c r="A63" s="5" t="s">
        <v>5</v>
      </c>
      <c r="B63" s="2" t="s">
        <v>210</v>
      </c>
      <c r="C63" s="31" t="s">
        <v>59</v>
      </c>
      <c r="F63" s="5" t="s">
        <v>9</v>
      </c>
      <c r="G63" s="32" t="s">
        <v>206</v>
      </c>
      <c r="H63" s="31" t="s">
        <v>59</v>
      </c>
      <c r="K63" s="5" t="s">
        <v>11</v>
      </c>
      <c r="L63" s="2" t="s">
        <v>211</v>
      </c>
      <c r="M63" s="31" t="s">
        <v>59</v>
      </c>
    </row>
    <row r="64">
      <c r="A64" s="5" t="s">
        <v>5</v>
      </c>
      <c r="B64" s="2" t="s">
        <v>91</v>
      </c>
      <c r="C64" s="31" t="s">
        <v>59</v>
      </c>
      <c r="F64" s="5" t="s">
        <v>9</v>
      </c>
      <c r="G64" s="2" t="s">
        <v>87</v>
      </c>
      <c r="H64" s="31" t="s">
        <v>59</v>
      </c>
      <c r="K64" s="5" t="s">
        <v>11</v>
      </c>
      <c r="L64" s="5" t="s">
        <v>102</v>
      </c>
      <c r="M64" s="31" t="s">
        <v>59</v>
      </c>
    </row>
    <row r="65">
      <c r="A65" s="5" t="s">
        <v>5</v>
      </c>
      <c r="B65" s="2" t="s">
        <v>212</v>
      </c>
      <c r="C65" s="31" t="s">
        <v>59</v>
      </c>
      <c r="F65" s="5" t="s">
        <v>9</v>
      </c>
      <c r="G65" s="2" t="s">
        <v>204</v>
      </c>
      <c r="H65" s="31" t="s">
        <v>59</v>
      </c>
      <c r="K65" s="5" t="s">
        <v>5</v>
      </c>
      <c r="L65" s="2" t="s">
        <v>213</v>
      </c>
      <c r="M65" s="31" t="s">
        <v>59</v>
      </c>
    </row>
    <row r="66">
      <c r="A66" s="5" t="s">
        <v>5</v>
      </c>
      <c r="B66" s="2" t="s">
        <v>97</v>
      </c>
      <c r="C66" s="31" t="s">
        <v>59</v>
      </c>
      <c r="F66" s="5" t="s">
        <v>9</v>
      </c>
      <c r="G66" s="2" t="s">
        <v>210</v>
      </c>
      <c r="H66" s="31" t="s">
        <v>59</v>
      </c>
      <c r="K66" s="5" t="s">
        <v>11</v>
      </c>
      <c r="L66" s="2"/>
      <c r="M66" s="31"/>
    </row>
    <row r="67">
      <c r="A67" s="5" t="s">
        <v>5</v>
      </c>
      <c r="B67" s="2" t="s">
        <v>214</v>
      </c>
      <c r="C67" s="31" t="s">
        <v>59</v>
      </c>
      <c r="F67" s="5" t="s">
        <v>9</v>
      </c>
      <c r="G67" s="32" t="s">
        <v>205</v>
      </c>
      <c r="H67" s="31" t="s">
        <v>59</v>
      </c>
      <c r="K67" s="5" t="s">
        <v>11</v>
      </c>
      <c r="L67" s="2"/>
      <c r="M67" s="31"/>
    </row>
    <row r="68">
      <c r="A68" s="5" t="s">
        <v>5</v>
      </c>
      <c r="B68" s="2" t="s">
        <v>158</v>
      </c>
      <c r="C68" s="31" t="s">
        <v>59</v>
      </c>
      <c r="F68" s="5" t="s">
        <v>9</v>
      </c>
      <c r="G68" s="2" t="s">
        <v>97</v>
      </c>
      <c r="H68" s="31" t="s">
        <v>59</v>
      </c>
      <c r="K68" s="5" t="s">
        <v>11</v>
      </c>
      <c r="L68" s="2"/>
      <c r="M68" s="31"/>
    </row>
    <row r="69">
      <c r="A69" s="5" t="s">
        <v>5</v>
      </c>
      <c r="B69" s="2" t="s">
        <v>103</v>
      </c>
      <c r="C69" s="31" t="s">
        <v>59</v>
      </c>
      <c r="F69" s="6" t="s">
        <v>9</v>
      </c>
      <c r="G69" s="2" t="s">
        <v>213</v>
      </c>
      <c r="H69" s="31" t="s">
        <v>59</v>
      </c>
    </row>
    <row r="70">
      <c r="L70" s="6"/>
      <c r="M70" s="5"/>
    </row>
    <row r="71">
      <c r="A71" s="5" t="s">
        <v>5</v>
      </c>
      <c r="B71" s="5" t="s">
        <v>164</v>
      </c>
      <c r="C71" s="31" t="s">
        <v>59</v>
      </c>
      <c r="F71" s="6" t="s">
        <v>9</v>
      </c>
      <c r="G71" s="2" t="s">
        <v>93</v>
      </c>
      <c r="H71" s="31" t="s">
        <v>59</v>
      </c>
      <c r="L71" s="6"/>
      <c r="M71" s="5"/>
    </row>
    <row r="72">
      <c r="A72" s="5" t="s">
        <v>5</v>
      </c>
      <c r="B72" s="2" t="s">
        <v>215</v>
      </c>
      <c r="C72" s="31" t="s">
        <v>59</v>
      </c>
      <c r="F72" s="6" t="s">
        <v>9</v>
      </c>
      <c r="G72" s="5" t="s">
        <v>164</v>
      </c>
      <c r="H72" s="31" t="s">
        <v>59</v>
      </c>
      <c r="L72" s="6"/>
      <c r="M72" s="5"/>
    </row>
    <row r="73">
      <c r="A73" s="5" t="s">
        <v>5</v>
      </c>
      <c r="B73" s="2" t="s">
        <v>165</v>
      </c>
      <c r="C73" s="31" t="s">
        <v>59</v>
      </c>
      <c r="F73" s="6" t="s">
        <v>9</v>
      </c>
      <c r="G73" s="2" t="s">
        <v>167</v>
      </c>
      <c r="H73" s="31" t="s">
        <v>59</v>
      </c>
      <c r="L73" s="36"/>
      <c r="M73" s="5"/>
    </row>
    <row r="74">
      <c r="A74" s="5" t="s">
        <v>5</v>
      </c>
      <c r="B74" s="2" t="s">
        <v>216</v>
      </c>
      <c r="C74" s="31" t="s">
        <v>59</v>
      </c>
      <c r="F74" s="6" t="s">
        <v>9</v>
      </c>
      <c r="G74" s="2" t="s">
        <v>107</v>
      </c>
      <c r="H74" s="31" t="s">
        <v>59</v>
      </c>
      <c r="M74" s="5"/>
    </row>
    <row r="75">
      <c r="A75" s="5" t="s">
        <v>5</v>
      </c>
      <c r="B75" s="2" t="s">
        <v>209</v>
      </c>
      <c r="C75" s="31" t="s">
        <v>59</v>
      </c>
      <c r="F75" s="5" t="s">
        <v>9</v>
      </c>
      <c r="G75" s="2" t="s">
        <v>215</v>
      </c>
      <c r="H75" s="31" t="s">
        <v>59</v>
      </c>
      <c r="L75" s="6"/>
      <c r="M75" s="6"/>
    </row>
    <row r="76">
      <c r="A76" s="5" t="s">
        <v>5</v>
      </c>
      <c r="B76" s="5" t="s">
        <v>217</v>
      </c>
      <c r="C76" s="31" t="s">
        <v>59</v>
      </c>
      <c r="F76" s="5" t="s">
        <v>9</v>
      </c>
      <c r="G76" s="2" t="s">
        <v>207</v>
      </c>
      <c r="H76" s="31" t="s">
        <v>59</v>
      </c>
    </row>
    <row r="77">
      <c r="A77" s="5" t="s">
        <v>5</v>
      </c>
      <c r="B77" s="32" t="s">
        <v>114</v>
      </c>
      <c r="C77" s="31" t="s">
        <v>59</v>
      </c>
      <c r="F77" s="5" t="s">
        <v>9</v>
      </c>
      <c r="G77" s="2" t="s">
        <v>165</v>
      </c>
      <c r="H77" s="31" t="s">
        <v>59</v>
      </c>
    </row>
    <row r="78">
      <c r="A78" s="5" t="s">
        <v>5</v>
      </c>
      <c r="B78" s="2" t="s">
        <v>99</v>
      </c>
      <c r="C78" s="31" t="s">
        <v>59</v>
      </c>
      <c r="F78" s="5" t="s">
        <v>9</v>
      </c>
      <c r="G78" s="2" t="s">
        <v>216</v>
      </c>
      <c r="H78" s="31" t="s">
        <v>59</v>
      </c>
    </row>
    <row r="79">
      <c r="A79" s="5" t="s">
        <v>5</v>
      </c>
      <c r="B79" s="2" t="s">
        <v>95</v>
      </c>
      <c r="C79" s="31" t="s">
        <v>59</v>
      </c>
      <c r="F79" s="5" t="s">
        <v>9</v>
      </c>
      <c r="G79" s="2" t="s">
        <v>168</v>
      </c>
      <c r="H79" s="31" t="s">
        <v>59</v>
      </c>
    </row>
    <row r="80">
      <c r="F80" s="5" t="s">
        <v>5</v>
      </c>
      <c r="G80" s="2" t="s">
        <v>198</v>
      </c>
      <c r="H80" s="31" t="s">
        <v>59</v>
      </c>
    </row>
    <row r="81">
      <c r="A81" s="2" t="str">
        <f>'March 30 - M3 1006'!A75</f>
        <v>9:00am - 1:00pm </v>
      </c>
      <c r="B81" s="2" t="s">
        <v>80</v>
      </c>
      <c r="C81" s="31" t="s">
        <v>59</v>
      </c>
      <c r="F81" s="5" t="s">
        <v>9</v>
      </c>
      <c r="G81" s="5" t="s">
        <v>110</v>
      </c>
      <c r="H81" s="31" t="s">
        <v>59</v>
      </c>
    </row>
    <row r="82">
      <c r="A82" s="2"/>
      <c r="F82" s="5" t="s">
        <v>9</v>
      </c>
      <c r="G82" s="2" t="s">
        <v>209</v>
      </c>
      <c r="H82" s="31" t="s">
        <v>59</v>
      </c>
    </row>
    <row r="83">
      <c r="A83" s="2"/>
      <c r="F83" s="6" t="s">
        <v>9</v>
      </c>
      <c r="G83" s="2" t="s">
        <v>171</v>
      </c>
      <c r="H83" s="31" t="s">
        <v>59</v>
      </c>
    </row>
    <row r="84">
      <c r="A84" s="2"/>
      <c r="F84" s="6" t="s">
        <v>9</v>
      </c>
      <c r="G84" s="5" t="s">
        <v>217</v>
      </c>
      <c r="H84" s="31" t="s">
        <v>59</v>
      </c>
    </row>
    <row r="85">
      <c r="A85" s="2"/>
      <c r="F85" s="6" t="s">
        <v>9</v>
      </c>
      <c r="G85" s="5" t="s">
        <v>113</v>
      </c>
      <c r="H85" s="31" t="s">
        <v>59</v>
      </c>
    </row>
    <row r="86">
      <c r="A86" s="2"/>
      <c r="F86" s="6" t="s">
        <v>9</v>
      </c>
      <c r="G86" s="2" t="s">
        <v>108</v>
      </c>
      <c r="H86" s="31" t="s">
        <v>59</v>
      </c>
    </row>
    <row r="87">
      <c r="A87" s="2"/>
      <c r="F87" s="5" t="s">
        <v>9</v>
      </c>
      <c r="G87" s="36" t="s">
        <v>211</v>
      </c>
      <c r="H87" s="31" t="s">
        <v>59</v>
      </c>
    </row>
    <row r="88">
      <c r="A88" s="2"/>
      <c r="F88" s="6" t="s">
        <v>9</v>
      </c>
      <c r="G88" s="5" t="s">
        <v>102</v>
      </c>
      <c r="H88" s="31" t="s">
        <v>59</v>
      </c>
    </row>
    <row r="89">
      <c r="A89" s="2"/>
      <c r="F89" s="6" t="s">
        <v>9</v>
      </c>
      <c r="G89" s="2" t="s">
        <v>76</v>
      </c>
      <c r="H89" s="31" t="s">
        <v>59</v>
      </c>
    </row>
    <row r="90">
      <c r="A90" s="2"/>
      <c r="F90" s="6" t="s">
        <v>9</v>
      </c>
      <c r="G90" s="44"/>
      <c r="H90" s="31"/>
    </row>
    <row r="91">
      <c r="A91" s="2"/>
      <c r="F91" s="2" t="s">
        <v>9</v>
      </c>
      <c r="G91" s="6" t="s">
        <v>115</v>
      </c>
      <c r="H91" s="43" t="s">
        <v>59</v>
      </c>
    </row>
    <row r="92">
      <c r="A92" s="2"/>
      <c r="F92" s="2" t="s">
        <v>9</v>
      </c>
      <c r="G92" s="12" t="s">
        <v>170</v>
      </c>
      <c r="H92" s="34" t="s">
        <v>59</v>
      </c>
    </row>
    <row r="93">
      <c r="A93" s="2"/>
      <c r="F93" s="6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3.88"/>
    <col customWidth="1" min="3" max="3" width="18.0"/>
    <col customWidth="1" min="4" max="4" width="5.75"/>
    <col customWidth="1" min="6" max="6" width="21.38"/>
    <col customWidth="1" min="7" max="7" width="9.75"/>
    <col customWidth="1" min="8" max="8" width="18.0"/>
    <col customWidth="1" min="9" max="9" width="5.75"/>
    <col customWidth="1" min="11" max="11" width="21.38"/>
    <col customWidth="1" min="12" max="12" width="9.75"/>
    <col customWidth="1" min="13" max="13" width="18.0"/>
    <col customWidth="1" min="14" max="14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172</v>
      </c>
      <c r="H1" s="1" t="s">
        <v>2</v>
      </c>
      <c r="I1" s="1" t="s">
        <v>3</v>
      </c>
      <c r="K1" s="1" t="s">
        <v>0</v>
      </c>
      <c r="L1" s="1" t="s">
        <v>172</v>
      </c>
      <c r="M1" s="1" t="s">
        <v>2</v>
      </c>
      <c r="N1" s="1" t="s">
        <v>3</v>
      </c>
    </row>
    <row r="2">
      <c r="A2" s="2" t="s">
        <v>4</v>
      </c>
      <c r="B2" s="2"/>
      <c r="C2" s="3"/>
      <c r="D2" s="4">
        <f>sum(D3:D94)</f>
        <v>63</v>
      </c>
      <c r="F2" s="5"/>
      <c r="H2" s="3"/>
      <c r="I2" s="4">
        <f>sum(I3:I94)</f>
        <v>79</v>
      </c>
      <c r="K2" s="5"/>
      <c r="M2" s="3"/>
      <c r="N2" s="4">
        <f>sum(N3:N94)</f>
        <v>42</v>
      </c>
    </row>
    <row r="3">
      <c r="A3" s="6" t="s">
        <v>5</v>
      </c>
      <c r="B3" s="8" t="s">
        <v>6</v>
      </c>
      <c r="C3" s="7" t="s">
        <v>7</v>
      </c>
      <c r="D3" s="5">
        <f>counta(B3:B5)</f>
        <v>2</v>
      </c>
      <c r="F3" s="5" t="s">
        <v>9</v>
      </c>
      <c r="G3" s="8" t="s">
        <v>116</v>
      </c>
      <c r="H3" s="7" t="s">
        <v>7</v>
      </c>
      <c r="I3" s="5">
        <f>counta(G3:G5)</f>
        <v>2</v>
      </c>
      <c r="K3" s="5" t="s">
        <v>11</v>
      </c>
      <c r="L3" s="8" t="s">
        <v>10</v>
      </c>
      <c r="M3" s="37" t="s">
        <v>117</v>
      </c>
      <c r="N3" s="5">
        <f>counta(L3:L5)</f>
        <v>1</v>
      </c>
    </row>
    <row r="4">
      <c r="A4" s="6" t="s">
        <v>5</v>
      </c>
      <c r="B4" s="10" t="s">
        <v>173</v>
      </c>
      <c r="C4" s="11" t="s">
        <v>14</v>
      </c>
      <c r="F4" s="5" t="s">
        <v>9</v>
      </c>
      <c r="G4" s="10" t="s">
        <v>173</v>
      </c>
      <c r="H4" s="11" t="s">
        <v>14</v>
      </c>
      <c r="L4" s="12"/>
      <c r="M4" s="12"/>
    </row>
    <row r="5">
      <c r="A5" s="6"/>
      <c r="B5" s="12"/>
      <c r="C5" s="12"/>
      <c r="G5" s="12"/>
      <c r="H5" s="12"/>
      <c r="L5" s="12"/>
      <c r="M5" s="12"/>
    </row>
    <row r="6">
      <c r="A6" s="6"/>
      <c r="B6" s="2"/>
      <c r="C6" s="12"/>
      <c r="G6" s="2"/>
      <c r="H6" s="12"/>
      <c r="L6" s="12"/>
      <c r="M6" s="12"/>
    </row>
    <row r="7">
      <c r="A7" s="6"/>
      <c r="B7" s="2"/>
      <c r="C7" s="12"/>
      <c r="G7" s="2"/>
      <c r="H7" s="12"/>
      <c r="L7" s="2"/>
      <c r="M7" s="12"/>
    </row>
    <row r="8">
      <c r="A8" s="12"/>
      <c r="B8" s="2"/>
      <c r="C8" s="12"/>
      <c r="F8" s="5"/>
      <c r="G8" s="2"/>
      <c r="H8" s="12"/>
      <c r="K8" s="5"/>
      <c r="L8" s="2"/>
      <c r="M8" s="12"/>
    </row>
    <row r="9">
      <c r="A9" s="6" t="s">
        <v>5</v>
      </c>
      <c r="B9" s="2" t="s">
        <v>15</v>
      </c>
      <c r="C9" s="13" t="s">
        <v>16</v>
      </c>
      <c r="D9" s="5">
        <f>counta(B9:B15)</f>
        <v>7</v>
      </c>
      <c r="F9" s="5" t="s">
        <v>9</v>
      </c>
      <c r="G9" s="2" t="s">
        <v>15</v>
      </c>
      <c r="H9" s="13" t="s">
        <v>16</v>
      </c>
      <c r="I9" s="5">
        <f>counta(G9:G15)</f>
        <v>7</v>
      </c>
      <c r="K9" s="5" t="s">
        <v>11</v>
      </c>
      <c r="L9" s="2" t="s">
        <v>15</v>
      </c>
      <c r="M9" s="13" t="s">
        <v>16</v>
      </c>
      <c r="N9" s="5">
        <f>counta(L9:L15)</f>
        <v>7</v>
      </c>
    </row>
    <row r="10">
      <c r="A10" s="6" t="s">
        <v>5</v>
      </c>
      <c r="B10" s="2" t="s">
        <v>17</v>
      </c>
      <c r="C10" s="13" t="s">
        <v>18</v>
      </c>
      <c r="F10" s="5" t="s">
        <v>9</v>
      </c>
      <c r="G10" s="2" t="s">
        <v>17</v>
      </c>
      <c r="H10" s="13" t="s">
        <v>18</v>
      </c>
      <c r="K10" s="5" t="s">
        <v>11</v>
      </c>
      <c r="L10" s="2" t="s">
        <v>17</v>
      </c>
      <c r="M10" s="13" t="s">
        <v>18</v>
      </c>
    </row>
    <row r="11">
      <c r="A11" s="6" t="s">
        <v>5</v>
      </c>
      <c r="B11" s="2" t="s">
        <v>19</v>
      </c>
      <c r="C11" s="13" t="s">
        <v>20</v>
      </c>
      <c r="F11" s="5" t="s">
        <v>9</v>
      </c>
      <c r="G11" s="2" t="s">
        <v>19</v>
      </c>
      <c r="H11" s="13" t="s">
        <v>20</v>
      </c>
      <c r="K11" s="5" t="s">
        <v>11</v>
      </c>
      <c r="L11" s="2" t="s">
        <v>19</v>
      </c>
      <c r="M11" s="13" t="s">
        <v>20</v>
      </c>
    </row>
    <row r="12">
      <c r="A12" s="6" t="s">
        <v>5</v>
      </c>
      <c r="B12" s="2" t="s">
        <v>21</v>
      </c>
      <c r="C12" s="13" t="s">
        <v>22</v>
      </c>
      <c r="F12" s="5" t="s">
        <v>9</v>
      </c>
      <c r="G12" s="2" t="s">
        <v>21</v>
      </c>
      <c r="H12" s="13" t="s">
        <v>22</v>
      </c>
      <c r="K12" s="5" t="s">
        <v>11</v>
      </c>
      <c r="L12" s="2" t="s">
        <v>21</v>
      </c>
      <c r="M12" s="13" t="s">
        <v>22</v>
      </c>
    </row>
    <row r="13">
      <c r="A13" s="6" t="s">
        <v>5</v>
      </c>
      <c r="B13" s="2" t="s">
        <v>23</v>
      </c>
      <c r="C13" s="13" t="s">
        <v>24</v>
      </c>
      <c r="F13" s="5" t="s">
        <v>9</v>
      </c>
      <c r="G13" s="2" t="s">
        <v>23</v>
      </c>
      <c r="H13" s="13" t="s">
        <v>24</v>
      </c>
      <c r="K13" s="5" t="s">
        <v>11</v>
      </c>
      <c r="L13" s="2" t="s">
        <v>23</v>
      </c>
      <c r="M13" s="13" t="s">
        <v>24</v>
      </c>
    </row>
    <row r="14">
      <c r="A14" s="6" t="s">
        <v>5</v>
      </c>
      <c r="B14" s="2" t="s">
        <v>25</v>
      </c>
      <c r="C14" s="13" t="s">
        <v>24</v>
      </c>
      <c r="F14" s="5" t="s">
        <v>9</v>
      </c>
      <c r="G14" s="2" t="s">
        <v>25</v>
      </c>
      <c r="H14" s="13" t="s">
        <v>24</v>
      </c>
      <c r="K14" s="5" t="s">
        <v>11</v>
      </c>
      <c r="L14" s="2" t="s">
        <v>25</v>
      </c>
      <c r="M14" s="13" t="s">
        <v>24</v>
      </c>
    </row>
    <row r="15">
      <c r="A15" s="6" t="s">
        <v>5</v>
      </c>
      <c r="B15" s="2" t="s">
        <v>26</v>
      </c>
      <c r="C15" s="13" t="s">
        <v>24</v>
      </c>
      <c r="F15" s="5" t="s">
        <v>9</v>
      </c>
      <c r="G15" s="2" t="s">
        <v>26</v>
      </c>
      <c r="H15" s="13" t="s">
        <v>24</v>
      </c>
      <c r="K15" s="5" t="s">
        <v>11</v>
      </c>
      <c r="L15" s="2" t="s">
        <v>26</v>
      </c>
      <c r="M15" s="13" t="s">
        <v>24</v>
      </c>
    </row>
    <row r="16">
      <c r="A16" s="12"/>
      <c r="B16" s="2"/>
      <c r="C16" s="12"/>
      <c r="F16" s="5"/>
      <c r="G16" s="2"/>
      <c r="K16" s="5"/>
      <c r="M16" s="5"/>
    </row>
    <row r="17">
      <c r="A17" s="6" t="s">
        <v>5</v>
      </c>
      <c r="B17" s="2" t="s">
        <v>29</v>
      </c>
      <c r="C17" s="14" t="s">
        <v>30</v>
      </c>
      <c r="D17" s="5">
        <f>counta(B17:B38)</f>
        <v>22</v>
      </c>
      <c r="F17" s="5" t="s">
        <v>9</v>
      </c>
      <c r="G17" s="15" t="s">
        <v>29</v>
      </c>
      <c r="H17" s="14" t="s">
        <v>30</v>
      </c>
      <c r="I17" s="5">
        <f>counta(G17:G38)</f>
        <v>22</v>
      </c>
      <c r="K17" s="5" t="s">
        <v>11</v>
      </c>
      <c r="L17" s="15" t="s">
        <v>29</v>
      </c>
      <c r="M17" s="14" t="s">
        <v>30</v>
      </c>
      <c r="N17" s="5">
        <f>counta(L17:L38)</f>
        <v>15</v>
      </c>
    </row>
    <row r="18">
      <c r="A18" s="6" t="s">
        <v>5</v>
      </c>
      <c r="B18" s="2" t="s">
        <v>121</v>
      </c>
      <c r="C18" s="14" t="s">
        <v>28</v>
      </c>
      <c r="F18" s="5" t="s">
        <v>9</v>
      </c>
      <c r="G18" s="16" t="s">
        <v>121</v>
      </c>
      <c r="H18" s="14" t="s">
        <v>28</v>
      </c>
      <c r="K18" s="5" t="s">
        <v>11</v>
      </c>
      <c r="L18" s="15" t="s">
        <v>121</v>
      </c>
      <c r="M18" s="18" t="s">
        <v>28</v>
      </c>
    </row>
    <row r="19">
      <c r="A19" s="6" t="s">
        <v>5</v>
      </c>
      <c r="B19" s="2" t="s">
        <v>32</v>
      </c>
      <c r="C19" s="14" t="s">
        <v>30</v>
      </c>
      <c r="F19" s="5" t="s">
        <v>9</v>
      </c>
      <c r="G19" s="15" t="s">
        <v>32</v>
      </c>
      <c r="H19" s="14" t="s">
        <v>30</v>
      </c>
      <c r="K19" s="5" t="s">
        <v>11</v>
      </c>
      <c r="L19" s="15" t="s">
        <v>120</v>
      </c>
      <c r="M19" s="18" t="s">
        <v>28</v>
      </c>
    </row>
    <row r="20">
      <c r="A20" s="6" t="s">
        <v>5</v>
      </c>
      <c r="B20" s="2" t="s">
        <v>35</v>
      </c>
      <c r="C20" s="14" t="s">
        <v>28</v>
      </c>
      <c r="E20" s="38"/>
      <c r="F20" s="5" t="s">
        <v>9</v>
      </c>
      <c r="G20" s="15" t="s">
        <v>35</v>
      </c>
      <c r="H20" s="14" t="s">
        <v>28</v>
      </c>
      <c r="K20" s="5" t="s">
        <v>34</v>
      </c>
      <c r="L20" s="16" t="s">
        <v>125</v>
      </c>
      <c r="M20" s="18" t="s">
        <v>28</v>
      </c>
    </row>
    <row r="21">
      <c r="A21" s="6" t="s">
        <v>5</v>
      </c>
      <c r="B21" s="2" t="s">
        <v>120</v>
      </c>
      <c r="C21" s="14" t="s">
        <v>28</v>
      </c>
      <c r="F21" s="5" t="s">
        <v>9</v>
      </c>
      <c r="G21" s="16" t="s">
        <v>120</v>
      </c>
      <c r="H21" s="14" t="s">
        <v>28</v>
      </c>
      <c r="K21" s="5" t="s">
        <v>34</v>
      </c>
      <c r="L21" s="15" t="s">
        <v>37</v>
      </c>
      <c r="M21" s="17" t="s">
        <v>28</v>
      </c>
      <c r="P21" s="6"/>
    </row>
    <row r="22">
      <c r="A22" s="6" t="s">
        <v>5</v>
      </c>
      <c r="B22" s="2" t="s">
        <v>182</v>
      </c>
      <c r="C22" s="14" t="s">
        <v>28</v>
      </c>
      <c r="F22" s="5" t="s">
        <v>9</v>
      </c>
      <c r="G22" s="15" t="s">
        <v>36</v>
      </c>
      <c r="H22" s="14" t="s">
        <v>28</v>
      </c>
      <c r="K22" s="5" t="s">
        <v>34</v>
      </c>
      <c r="L22" s="16" t="s">
        <v>13</v>
      </c>
      <c r="M22" s="18" t="s">
        <v>28</v>
      </c>
      <c r="P22" s="6"/>
    </row>
    <row r="23">
      <c r="A23" s="6" t="s">
        <v>5</v>
      </c>
      <c r="B23" s="2" t="s">
        <v>36</v>
      </c>
      <c r="C23" s="14" t="s">
        <v>28</v>
      </c>
      <c r="F23" s="5" t="s">
        <v>9</v>
      </c>
      <c r="G23" s="15" t="s">
        <v>125</v>
      </c>
      <c r="H23" s="14" t="s">
        <v>28</v>
      </c>
      <c r="K23" s="5" t="s">
        <v>34</v>
      </c>
      <c r="L23" s="16" t="s">
        <v>218</v>
      </c>
      <c r="M23" s="17" t="s">
        <v>28</v>
      </c>
    </row>
    <row r="24">
      <c r="A24" s="6" t="s">
        <v>5</v>
      </c>
      <c r="B24" s="2" t="s">
        <v>37</v>
      </c>
      <c r="C24" s="14" t="s">
        <v>28</v>
      </c>
      <c r="F24" s="5" t="s">
        <v>9</v>
      </c>
      <c r="G24" s="15" t="s">
        <v>189</v>
      </c>
      <c r="H24" s="14" t="s">
        <v>28</v>
      </c>
      <c r="K24" s="5" t="s">
        <v>34</v>
      </c>
      <c r="L24" s="15" t="s">
        <v>219</v>
      </c>
      <c r="M24" s="17" t="s">
        <v>28</v>
      </c>
    </row>
    <row r="25">
      <c r="A25" s="6" t="s">
        <v>5</v>
      </c>
      <c r="B25" s="2" t="s">
        <v>189</v>
      </c>
      <c r="C25" s="14" t="s">
        <v>28</v>
      </c>
      <c r="F25" s="5" t="s">
        <v>9</v>
      </c>
      <c r="G25" s="15" t="s">
        <v>124</v>
      </c>
      <c r="H25" s="14" t="s">
        <v>28</v>
      </c>
      <c r="K25" s="5" t="s">
        <v>34</v>
      </c>
      <c r="L25" s="16" t="s">
        <v>187</v>
      </c>
      <c r="M25" s="17" t="s">
        <v>28</v>
      </c>
    </row>
    <row r="26">
      <c r="A26" s="6" t="s">
        <v>5</v>
      </c>
      <c r="B26" s="2" t="s">
        <v>13</v>
      </c>
      <c r="C26" s="14" t="s">
        <v>28</v>
      </c>
      <c r="F26" s="5" t="s">
        <v>9</v>
      </c>
      <c r="G26" s="16" t="s">
        <v>218</v>
      </c>
      <c r="H26" s="14" t="s">
        <v>28</v>
      </c>
      <c r="K26" s="5" t="s">
        <v>34</v>
      </c>
      <c r="L26" s="15" t="s">
        <v>220</v>
      </c>
      <c r="M26" s="17" t="s">
        <v>28</v>
      </c>
    </row>
    <row r="27">
      <c r="A27" s="6" t="s">
        <v>5</v>
      </c>
      <c r="B27" s="2" t="s">
        <v>177</v>
      </c>
      <c r="C27" s="14" t="s">
        <v>28</v>
      </c>
      <c r="F27" s="5" t="s">
        <v>9</v>
      </c>
      <c r="G27" s="15" t="s">
        <v>219</v>
      </c>
      <c r="H27" s="14" t="s">
        <v>28</v>
      </c>
      <c r="K27" s="5" t="s">
        <v>34</v>
      </c>
      <c r="L27" s="25" t="s">
        <v>51</v>
      </c>
      <c r="M27" s="14" t="s">
        <v>30</v>
      </c>
    </row>
    <row r="28">
      <c r="A28" s="6" t="s">
        <v>5</v>
      </c>
      <c r="B28" s="2" t="s">
        <v>124</v>
      </c>
      <c r="C28" s="14" t="s">
        <v>28</v>
      </c>
      <c r="F28" s="5" t="s">
        <v>9</v>
      </c>
      <c r="G28" s="15" t="s">
        <v>135</v>
      </c>
      <c r="H28" s="14" t="s">
        <v>28</v>
      </c>
      <c r="K28" s="5" t="s">
        <v>34</v>
      </c>
      <c r="L28" s="25" t="s">
        <v>122</v>
      </c>
      <c r="M28" s="17" t="s">
        <v>28</v>
      </c>
    </row>
    <row r="29">
      <c r="A29" s="6" t="s">
        <v>5</v>
      </c>
      <c r="B29" s="2" t="s">
        <v>183</v>
      </c>
      <c r="C29" s="14" t="s">
        <v>28</v>
      </c>
      <c r="F29" s="5" t="s">
        <v>9</v>
      </c>
      <c r="G29" s="15" t="s">
        <v>221</v>
      </c>
      <c r="H29" s="14" t="s">
        <v>28</v>
      </c>
      <c r="K29" s="5" t="s">
        <v>34</v>
      </c>
      <c r="L29" s="25" t="s">
        <v>222</v>
      </c>
      <c r="M29" s="17" t="s">
        <v>28</v>
      </c>
    </row>
    <row r="30">
      <c r="A30" s="6" t="s">
        <v>5</v>
      </c>
      <c r="B30" s="2" t="s">
        <v>221</v>
      </c>
      <c r="C30" s="14" t="s">
        <v>28</v>
      </c>
      <c r="F30" s="5" t="s">
        <v>9</v>
      </c>
      <c r="G30" s="25" t="s">
        <v>46</v>
      </c>
      <c r="H30" s="14" t="s">
        <v>28</v>
      </c>
      <c r="K30" s="5" t="s">
        <v>9</v>
      </c>
      <c r="L30" s="15" t="s">
        <v>32</v>
      </c>
      <c r="M30" s="14" t="s">
        <v>30</v>
      </c>
    </row>
    <row r="31">
      <c r="A31" s="6" t="s">
        <v>5</v>
      </c>
      <c r="B31" s="2" t="s">
        <v>46</v>
      </c>
      <c r="C31" s="14" t="s">
        <v>28</v>
      </c>
      <c r="F31" s="5" t="s">
        <v>9</v>
      </c>
      <c r="G31" s="25" t="s">
        <v>220</v>
      </c>
      <c r="H31" s="14" t="s">
        <v>28</v>
      </c>
      <c r="K31" s="5" t="s">
        <v>9</v>
      </c>
      <c r="L31" s="2" t="s">
        <v>134</v>
      </c>
      <c r="M31" s="14" t="s">
        <v>28</v>
      </c>
    </row>
    <row r="32">
      <c r="A32" s="6" t="s">
        <v>5</v>
      </c>
      <c r="B32" s="2" t="s">
        <v>220</v>
      </c>
      <c r="C32" s="14" t="s">
        <v>28</v>
      </c>
      <c r="F32" s="5" t="s">
        <v>9</v>
      </c>
      <c r="G32" s="25" t="s">
        <v>51</v>
      </c>
      <c r="H32" s="14" t="s">
        <v>30</v>
      </c>
      <c r="L32" s="45"/>
      <c r="M32" s="2"/>
    </row>
    <row r="33">
      <c r="A33" s="6" t="s">
        <v>5</v>
      </c>
      <c r="B33" s="2" t="s">
        <v>51</v>
      </c>
      <c r="C33" s="14" t="s">
        <v>30</v>
      </c>
      <c r="F33" s="5" t="s">
        <v>9</v>
      </c>
      <c r="G33" s="25" t="s">
        <v>119</v>
      </c>
      <c r="H33" s="14" t="s">
        <v>28</v>
      </c>
      <c r="L33" s="46"/>
      <c r="M33" s="2"/>
    </row>
    <row r="34">
      <c r="A34" s="6" t="s">
        <v>5</v>
      </c>
      <c r="B34" s="2" t="s">
        <v>119</v>
      </c>
      <c r="C34" s="14" t="s">
        <v>28</v>
      </c>
      <c r="F34" s="5" t="s">
        <v>9</v>
      </c>
      <c r="G34" s="25" t="s">
        <v>122</v>
      </c>
      <c r="H34" s="14" t="s">
        <v>28</v>
      </c>
      <c r="L34" s="46"/>
      <c r="M34" s="2"/>
    </row>
    <row r="35">
      <c r="A35" s="6" t="s">
        <v>5</v>
      </c>
      <c r="B35" s="2" t="s">
        <v>126</v>
      </c>
      <c r="C35" s="14" t="s">
        <v>28</v>
      </c>
      <c r="F35" s="5" t="s">
        <v>9</v>
      </c>
      <c r="G35" s="25" t="s">
        <v>126</v>
      </c>
      <c r="H35" s="14" t="s">
        <v>28</v>
      </c>
      <c r="L35" s="46"/>
      <c r="M35" s="2"/>
    </row>
    <row r="36">
      <c r="A36" s="6" t="s">
        <v>5</v>
      </c>
      <c r="B36" s="2" t="s">
        <v>132</v>
      </c>
      <c r="C36" s="14" t="s">
        <v>28</v>
      </c>
      <c r="F36" s="5" t="s">
        <v>9</v>
      </c>
      <c r="G36" s="25" t="s">
        <v>222</v>
      </c>
      <c r="H36" s="14" t="s">
        <v>28</v>
      </c>
    </row>
    <row r="37">
      <c r="A37" s="6" t="s">
        <v>5</v>
      </c>
      <c r="B37" s="29" t="s">
        <v>223</v>
      </c>
      <c r="C37" s="14" t="s">
        <v>28</v>
      </c>
      <c r="F37" s="5" t="s">
        <v>9</v>
      </c>
      <c r="G37" s="25" t="s">
        <v>132</v>
      </c>
      <c r="H37" s="14" t="s">
        <v>28</v>
      </c>
    </row>
    <row r="38">
      <c r="A38" s="6" t="s">
        <v>5</v>
      </c>
      <c r="B38" s="2" t="s">
        <v>190</v>
      </c>
      <c r="C38" s="14" t="s">
        <v>28</v>
      </c>
      <c r="F38" s="5" t="s">
        <v>9</v>
      </c>
      <c r="G38" s="25" t="s">
        <v>223</v>
      </c>
      <c r="H38" s="14" t="s">
        <v>28</v>
      </c>
    </row>
    <row r="39">
      <c r="A39" s="6" t="s">
        <v>5</v>
      </c>
      <c r="B39" s="2" t="s">
        <v>134</v>
      </c>
      <c r="C39" s="14" t="s">
        <v>28</v>
      </c>
      <c r="F39" s="5" t="s">
        <v>9</v>
      </c>
      <c r="G39" s="2" t="s">
        <v>134</v>
      </c>
      <c r="H39" s="14" t="s">
        <v>28</v>
      </c>
    </row>
    <row r="40">
      <c r="A40" s="6" t="s">
        <v>5</v>
      </c>
      <c r="B40" s="2" t="s">
        <v>49</v>
      </c>
      <c r="C40" s="14" t="s">
        <v>28</v>
      </c>
    </row>
    <row r="42">
      <c r="A42" s="5" t="s">
        <v>5</v>
      </c>
      <c r="B42" s="2" t="s">
        <v>64</v>
      </c>
      <c r="C42" s="31" t="s">
        <v>59</v>
      </c>
      <c r="D42" s="5">
        <f>counta(B42:B105)</f>
        <v>32</v>
      </c>
      <c r="F42" s="5" t="s">
        <v>9</v>
      </c>
      <c r="G42" s="2" t="s">
        <v>191</v>
      </c>
      <c r="H42" s="31" t="s">
        <v>59</v>
      </c>
      <c r="I42" s="5">
        <f>counta(G42:G105)</f>
        <v>48</v>
      </c>
      <c r="K42" s="5" t="s">
        <v>11</v>
      </c>
      <c r="L42" s="2" t="s">
        <v>138</v>
      </c>
      <c r="M42" s="31" t="s">
        <v>59</v>
      </c>
      <c r="N42" s="5">
        <f>counta(L42:L105)</f>
        <v>19</v>
      </c>
    </row>
    <row r="43">
      <c r="A43" s="5" t="s">
        <v>5</v>
      </c>
      <c r="B43" s="29" t="s">
        <v>61</v>
      </c>
      <c r="C43" s="31" t="s">
        <v>59</v>
      </c>
      <c r="F43" s="5" t="s">
        <v>9</v>
      </c>
      <c r="G43" s="2" t="s">
        <v>64</v>
      </c>
      <c r="H43" s="31" t="s">
        <v>59</v>
      </c>
      <c r="K43" s="5" t="s">
        <v>11</v>
      </c>
      <c r="L43" s="2" t="s">
        <v>137</v>
      </c>
      <c r="M43" s="31" t="s">
        <v>59</v>
      </c>
    </row>
    <row r="44">
      <c r="A44" s="5" t="s">
        <v>5</v>
      </c>
      <c r="B44" s="2" t="s">
        <v>192</v>
      </c>
      <c r="C44" s="31" t="s">
        <v>59</v>
      </c>
      <c r="F44" s="5" t="s">
        <v>9</v>
      </c>
      <c r="G44" s="2" t="s">
        <v>138</v>
      </c>
      <c r="H44" s="31" t="s">
        <v>59</v>
      </c>
      <c r="K44" s="5" t="s">
        <v>11</v>
      </c>
      <c r="L44" s="44" t="s">
        <v>193</v>
      </c>
      <c r="M44" s="31" t="s">
        <v>59</v>
      </c>
    </row>
    <row r="45">
      <c r="A45" s="5" t="s">
        <v>5</v>
      </c>
      <c r="B45" s="2" t="s">
        <v>137</v>
      </c>
      <c r="C45" s="31" t="s">
        <v>59</v>
      </c>
      <c r="F45" s="5" t="s">
        <v>9</v>
      </c>
      <c r="G45" s="2" t="s">
        <v>192</v>
      </c>
      <c r="H45" s="31" t="s">
        <v>59</v>
      </c>
      <c r="K45" s="5" t="s">
        <v>11</v>
      </c>
      <c r="L45" s="2" t="s">
        <v>224</v>
      </c>
      <c r="M45" s="31" t="s">
        <v>59</v>
      </c>
    </row>
    <row r="46">
      <c r="A46" s="5" t="s">
        <v>5</v>
      </c>
      <c r="B46" s="2" t="s">
        <v>63</v>
      </c>
      <c r="C46" s="31" t="s">
        <v>59</v>
      </c>
      <c r="F46" s="5" t="s">
        <v>9</v>
      </c>
      <c r="G46" s="2" t="s">
        <v>137</v>
      </c>
      <c r="H46" s="31" t="s">
        <v>59</v>
      </c>
      <c r="K46" s="5" t="s">
        <v>11</v>
      </c>
      <c r="L46" s="2" t="s">
        <v>145</v>
      </c>
      <c r="M46" s="31" t="s">
        <v>59</v>
      </c>
    </row>
    <row r="47">
      <c r="A47" s="5" t="s">
        <v>5</v>
      </c>
      <c r="B47" s="2" t="s">
        <v>224</v>
      </c>
      <c r="C47" s="31" t="s">
        <v>59</v>
      </c>
      <c r="F47" s="5" t="s">
        <v>9</v>
      </c>
      <c r="G47" s="44" t="s">
        <v>193</v>
      </c>
      <c r="H47" s="31" t="s">
        <v>59</v>
      </c>
      <c r="K47" s="5" t="s">
        <v>11</v>
      </c>
      <c r="L47" s="2" t="s">
        <v>147</v>
      </c>
      <c r="M47" s="31" t="s">
        <v>59</v>
      </c>
    </row>
    <row r="48">
      <c r="A48" s="5" t="s">
        <v>5</v>
      </c>
      <c r="B48" s="2" t="s">
        <v>67</v>
      </c>
      <c r="C48" s="31" t="s">
        <v>59</v>
      </c>
      <c r="F48" s="5" t="s">
        <v>9</v>
      </c>
      <c r="G48" s="2" t="s">
        <v>68</v>
      </c>
      <c r="H48" s="31" t="s">
        <v>59</v>
      </c>
      <c r="K48" s="5" t="s">
        <v>11</v>
      </c>
      <c r="L48" s="2" t="s">
        <v>151</v>
      </c>
      <c r="M48" s="31" t="s">
        <v>59</v>
      </c>
    </row>
    <row r="49">
      <c r="A49" s="5" t="s">
        <v>5</v>
      </c>
      <c r="B49" s="2" t="s">
        <v>73</v>
      </c>
      <c r="C49" s="31" t="s">
        <v>59</v>
      </c>
      <c r="F49" s="5" t="s">
        <v>9</v>
      </c>
      <c r="G49" s="2" t="s">
        <v>224</v>
      </c>
      <c r="H49" s="31" t="s">
        <v>59</v>
      </c>
      <c r="K49" s="5" t="s">
        <v>11</v>
      </c>
      <c r="L49" s="2" t="s">
        <v>92</v>
      </c>
      <c r="M49" s="31" t="s">
        <v>59</v>
      </c>
    </row>
    <row r="50">
      <c r="A50" s="5" t="s">
        <v>5</v>
      </c>
      <c r="B50" s="2" t="s">
        <v>76</v>
      </c>
      <c r="C50" s="31" t="s">
        <v>59</v>
      </c>
      <c r="F50" s="5" t="s">
        <v>9</v>
      </c>
      <c r="G50" s="2" t="s">
        <v>142</v>
      </c>
      <c r="H50" s="31" t="s">
        <v>59</v>
      </c>
      <c r="K50" s="5" t="s">
        <v>11</v>
      </c>
      <c r="L50" s="2" t="s">
        <v>225</v>
      </c>
      <c r="M50" s="31" t="s">
        <v>59</v>
      </c>
    </row>
    <row r="51">
      <c r="A51" s="5" t="s">
        <v>5</v>
      </c>
      <c r="B51" s="2" t="s">
        <v>81</v>
      </c>
      <c r="C51" s="31" t="s">
        <v>59</v>
      </c>
      <c r="F51" s="5" t="s">
        <v>9</v>
      </c>
      <c r="G51" s="2" t="s">
        <v>73</v>
      </c>
      <c r="H51" s="31" t="s">
        <v>59</v>
      </c>
      <c r="K51" s="5" t="s">
        <v>11</v>
      </c>
      <c r="L51" s="22" t="s">
        <v>205</v>
      </c>
      <c r="M51" s="31" t="s">
        <v>59</v>
      </c>
    </row>
    <row r="52">
      <c r="A52" s="5" t="s">
        <v>5</v>
      </c>
      <c r="B52" s="2" t="s">
        <v>146</v>
      </c>
      <c r="C52" s="31" t="s">
        <v>59</v>
      </c>
      <c r="F52" s="5" t="s">
        <v>9</v>
      </c>
      <c r="G52" s="2" t="s">
        <v>145</v>
      </c>
      <c r="H52" s="31" t="s">
        <v>59</v>
      </c>
      <c r="K52" s="5" t="s">
        <v>11</v>
      </c>
      <c r="L52" s="2" t="s">
        <v>212</v>
      </c>
      <c r="M52" s="31" t="s">
        <v>59</v>
      </c>
    </row>
    <row r="53">
      <c r="B53" s="2"/>
      <c r="C53" s="31"/>
      <c r="F53" s="5" t="s">
        <v>9</v>
      </c>
      <c r="G53" s="2" t="s">
        <v>81</v>
      </c>
      <c r="H53" s="31" t="s">
        <v>59</v>
      </c>
      <c r="K53" s="5" t="s">
        <v>11</v>
      </c>
      <c r="L53" s="44" t="s">
        <v>226</v>
      </c>
      <c r="M53" s="31" t="s">
        <v>59</v>
      </c>
    </row>
    <row r="54">
      <c r="F54" s="5" t="s">
        <v>9</v>
      </c>
      <c r="G54" s="2" t="s">
        <v>146</v>
      </c>
      <c r="H54" s="31" t="s">
        <v>59</v>
      </c>
      <c r="K54" s="5" t="s">
        <v>11</v>
      </c>
      <c r="L54" s="2" t="s">
        <v>214</v>
      </c>
      <c r="M54" s="31" t="s">
        <v>59</v>
      </c>
    </row>
    <row r="55">
      <c r="A55" s="5" t="s">
        <v>5</v>
      </c>
      <c r="B55" s="2" t="s">
        <v>199</v>
      </c>
      <c r="C55" s="31" t="s">
        <v>59</v>
      </c>
      <c r="F55" s="5" t="s">
        <v>9</v>
      </c>
      <c r="G55" s="2" t="s">
        <v>75</v>
      </c>
      <c r="H55" s="31" t="s">
        <v>59</v>
      </c>
      <c r="K55" s="5" t="s">
        <v>11</v>
      </c>
      <c r="L55" s="2" t="s">
        <v>207</v>
      </c>
      <c r="M55" s="31" t="s">
        <v>59</v>
      </c>
    </row>
    <row r="56">
      <c r="A56" s="5" t="s">
        <v>5</v>
      </c>
      <c r="B56" s="2" t="s">
        <v>150</v>
      </c>
      <c r="C56" s="31" t="s">
        <v>59</v>
      </c>
      <c r="F56" s="5" t="s">
        <v>9</v>
      </c>
      <c r="G56" s="2" t="s">
        <v>149</v>
      </c>
      <c r="H56" s="31" t="s">
        <v>59</v>
      </c>
      <c r="K56" s="5" t="s">
        <v>11</v>
      </c>
      <c r="L56" s="2" t="s">
        <v>94</v>
      </c>
      <c r="M56" s="31" t="s">
        <v>59</v>
      </c>
    </row>
    <row r="57">
      <c r="A57" s="5" t="s">
        <v>5</v>
      </c>
      <c r="B57" s="2" t="s">
        <v>155</v>
      </c>
      <c r="C57" s="31" t="s">
        <v>59</v>
      </c>
      <c r="F57" s="5" t="s">
        <v>9</v>
      </c>
      <c r="G57" s="2" t="s">
        <v>147</v>
      </c>
      <c r="H57" s="31" t="s">
        <v>59</v>
      </c>
      <c r="K57" s="5" t="s">
        <v>11</v>
      </c>
      <c r="L57" s="2" t="s">
        <v>96</v>
      </c>
      <c r="M57" s="31" t="s">
        <v>59</v>
      </c>
    </row>
    <row r="58">
      <c r="A58" s="5" t="s">
        <v>5</v>
      </c>
      <c r="B58" s="2" t="s">
        <v>151</v>
      </c>
      <c r="C58" s="31" t="s">
        <v>59</v>
      </c>
      <c r="F58" s="5" t="s">
        <v>9</v>
      </c>
      <c r="G58" s="2" t="s">
        <v>203</v>
      </c>
      <c r="H58" s="31" t="s">
        <v>59</v>
      </c>
      <c r="K58" s="5" t="s">
        <v>11</v>
      </c>
      <c r="L58" s="2" t="s">
        <v>227</v>
      </c>
      <c r="M58" s="31" t="s">
        <v>59</v>
      </c>
    </row>
    <row r="59">
      <c r="A59" s="5" t="s">
        <v>5</v>
      </c>
      <c r="B59" s="2" t="s">
        <v>152</v>
      </c>
      <c r="C59" s="31" t="s">
        <v>59</v>
      </c>
      <c r="F59" s="5" t="s">
        <v>9</v>
      </c>
      <c r="G59" s="2" t="s">
        <v>155</v>
      </c>
      <c r="H59" s="31" t="s">
        <v>59</v>
      </c>
      <c r="K59" s="5" t="s">
        <v>11</v>
      </c>
      <c r="L59" s="2" t="s">
        <v>169</v>
      </c>
      <c r="M59" s="31" t="s">
        <v>59</v>
      </c>
    </row>
    <row r="60">
      <c r="A60" s="5" t="s">
        <v>5</v>
      </c>
      <c r="B60" s="32" t="s">
        <v>206</v>
      </c>
      <c r="C60" s="31" t="s">
        <v>59</v>
      </c>
      <c r="F60" s="5" t="s">
        <v>9</v>
      </c>
      <c r="G60" s="2" t="s">
        <v>148</v>
      </c>
      <c r="H60" s="31" t="s">
        <v>59</v>
      </c>
      <c r="K60" s="5" t="s">
        <v>11</v>
      </c>
      <c r="L60" s="2" t="s">
        <v>211</v>
      </c>
      <c r="M60" s="31" t="s">
        <v>59</v>
      </c>
    </row>
    <row r="61">
      <c r="A61" s="5" t="s">
        <v>5</v>
      </c>
      <c r="B61" s="2" t="s">
        <v>225</v>
      </c>
      <c r="C61" s="31" t="s">
        <v>59</v>
      </c>
      <c r="F61" s="5" t="s">
        <v>9</v>
      </c>
      <c r="G61" s="2" t="s">
        <v>202</v>
      </c>
      <c r="H61" s="31" t="s">
        <v>59</v>
      </c>
      <c r="L61" s="2"/>
      <c r="M61" s="31"/>
    </row>
    <row r="62">
      <c r="A62" s="5" t="s">
        <v>5</v>
      </c>
      <c r="B62" s="2" t="s">
        <v>210</v>
      </c>
      <c r="C62" s="31" t="s">
        <v>59</v>
      </c>
      <c r="F62" s="5" t="s">
        <v>9</v>
      </c>
      <c r="G62" s="2" t="s">
        <v>151</v>
      </c>
      <c r="H62" s="31" t="s">
        <v>59</v>
      </c>
      <c r="L62" s="2"/>
      <c r="M62" s="31"/>
    </row>
    <row r="63">
      <c r="A63" s="5" t="s">
        <v>5</v>
      </c>
      <c r="B63" s="2" t="s">
        <v>91</v>
      </c>
      <c r="C63" s="31" t="s">
        <v>59</v>
      </c>
      <c r="F63" s="5" t="s">
        <v>9</v>
      </c>
      <c r="G63" s="32" t="s">
        <v>206</v>
      </c>
      <c r="H63" s="31" t="s">
        <v>59</v>
      </c>
      <c r="L63" s="2"/>
      <c r="M63" s="31"/>
    </row>
    <row r="64">
      <c r="A64" s="5" t="s">
        <v>5</v>
      </c>
      <c r="B64" s="44" t="s">
        <v>226</v>
      </c>
      <c r="C64" s="31" t="s">
        <v>59</v>
      </c>
      <c r="F64" s="5" t="s">
        <v>9</v>
      </c>
      <c r="G64" s="2" t="s">
        <v>156</v>
      </c>
      <c r="H64" s="31" t="s">
        <v>59</v>
      </c>
      <c r="L64" s="2"/>
      <c r="M64" s="31"/>
    </row>
    <row r="65">
      <c r="A65" s="5" t="s">
        <v>5</v>
      </c>
      <c r="B65" s="2" t="s">
        <v>158</v>
      </c>
      <c r="C65" s="31" t="s">
        <v>59</v>
      </c>
      <c r="F65" s="5" t="s">
        <v>9</v>
      </c>
      <c r="G65" s="2" t="s">
        <v>225</v>
      </c>
      <c r="H65" s="31" t="s">
        <v>59</v>
      </c>
    </row>
    <row r="66">
      <c r="A66" s="5" t="s">
        <v>5</v>
      </c>
      <c r="B66" s="2" t="s">
        <v>106</v>
      </c>
      <c r="C66" s="31" t="s">
        <v>59</v>
      </c>
      <c r="F66" s="5" t="s">
        <v>9</v>
      </c>
      <c r="G66" s="32" t="s">
        <v>205</v>
      </c>
      <c r="H66" s="31" t="s">
        <v>59</v>
      </c>
    </row>
    <row r="67">
      <c r="A67" s="5" t="s">
        <v>5</v>
      </c>
      <c r="B67" s="2" t="s">
        <v>160</v>
      </c>
      <c r="C67" s="31" t="s">
        <v>59</v>
      </c>
      <c r="F67" s="5" t="s">
        <v>9</v>
      </c>
      <c r="G67" s="2" t="s">
        <v>212</v>
      </c>
      <c r="H67" s="31" t="s">
        <v>59</v>
      </c>
      <c r="L67" s="6"/>
      <c r="M67" s="5"/>
    </row>
    <row r="68">
      <c r="A68" s="5" t="s">
        <v>5</v>
      </c>
      <c r="B68" s="5" t="s">
        <v>164</v>
      </c>
      <c r="C68" s="31" t="s">
        <v>59</v>
      </c>
      <c r="F68" s="5" t="s">
        <v>9</v>
      </c>
      <c r="G68" s="44" t="s">
        <v>226</v>
      </c>
      <c r="H68" s="31" t="s">
        <v>59</v>
      </c>
      <c r="L68" s="2"/>
      <c r="M68" s="5"/>
    </row>
    <row r="69">
      <c r="A69" s="5" t="s">
        <v>5</v>
      </c>
      <c r="B69" s="2" t="s">
        <v>215</v>
      </c>
      <c r="C69" s="31" t="s">
        <v>59</v>
      </c>
      <c r="F69" s="5" t="s">
        <v>9</v>
      </c>
      <c r="G69" s="2" t="s">
        <v>214</v>
      </c>
      <c r="H69" s="31" t="s">
        <v>59</v>
      </c>
      <c r="L69" s="6"/>
      <c r="M69" s="5"/>
    </row>
    <row r="70">
      <c r="A70" s="5" t="s">
        <v>5</v>
      </c>
      <c r="B70" s="2" t="s">
        <v>165</v>
      </c>
      <c r="C70" s="31" t="s">
        <v>59</v>
      </c>
      <c r="F70" s="5" t="s">
        <v>9</v>
      </c>
      <c r="G70" s="2" t="s">
        <v>103</v>
      </c>
      <c r="H70" s="31" t="s">
        <v>59</v>
      </c>
      <c r="L70" s="6"/>
      <c r="M70" s="5"/>
    </row>
    <row r="71">
      <c r="A71" s="5" t="s">
        <v>5</v>
      </c>
      <c r="B71" s="2" t="s">
        <v>216</v>
      </c>
      <c r="C71" s="31" t="s">
        <v>59</v>
      </c>
      <c r="F71" s="5" t="s">
        <v>9</v>
      </c>
      <c r="G71" s="2" t="s">
        <v>213</v>
      </c>
      <c r="H71" s="31" t="s">
        <v>59</v>
      </c>
      <c r="L71" s="6"/>
      <c r="M71" s="5"/>
    </row>
    <row r="72">
      <c r="A72" s="5" t="s">
        <v>5</v>
      </c>
      <c r="B72" s="2" t="s">
        <v>227</v>
      </c>
      <c r="C72" s="31" t="s">
        <v>59</v>
      </c>
      <c r="F72" s="5" t="s">
        <v>9</v>
      </c>
      <c r="G72" s="2" t="s">
        <v>160</v>
      </c>
      <c r="H72" s="31" t="s">
        <v>59</v>
      </c>
      <c r="M72" s="5"/>
    </row>
    <row r="73">
      <c r="A73" s="5" t="s">
        <v>5</v>
      </c>
      <c r="B73" s="2" t="s">
        <v>169</v>
      </c>
      <c r="C73" s="31" t="s">
        <v>59</v>
      </c>
      <c r="F73" s="5" t="s">
        <v>9</v>
      </c>
      <c r="G73" s="5" t="s">
        <v>164</v>
      </c>
      <c r="H73" s="31" t="s">
        <v>59</v>
      </c>
      <c r="L73" s="6"/>
      <c r="M73" s="5"/>
    </row>
    <row r="74">
      <c r="A74" s="5" t="s">
        <v>5</v>
      </c>
      <c r="B74" s="2" t="s">
        <v>211</v>
      </c>
      <c r="C74" s="31" t="s">
        <v>59</v>
      </c>
      <c r="F74" s="5" t="s">
        <v>9</v>
      </c>
      <c r="G74" s="2" t="s">
        <v>167</v>
      </c>
      <c r="H74" s="31" t="s">
        <v>59</v>
      </c>
      <c r="L74" s="6"/>
      <c r="M74" s="5"/>
    </row>
    <row r="75">
      <c r="A75" s="2" t="str">
        <f>'March 29 - M3 1006'!A79</f>
        <v>9:00am - 1:00pm </v>
      </c>
      <c r="B75" s="4" t="s">
        <v>69</v>
      </c>
      <c r="C75" s="5" t="s">
        <v>59</v>
      </c>
      <c r="F75" s="5" t="s">
        <v>9</v>
      </c>
      <c r="G75" s="2" t="s">
        <v>107</v>
      </c>
      <c r="H75" s="31" t="s">
        <v>59</v>
      </c>
      <c r="L75" s="6"/>
      <c r="M75" s="5"/>
    </row>
    <row r="76">
      <c r="F76" s="5" t="s">
        <v>9</v>
      </c>
      <c r="G76" s="2" t="s">
        <v>207</v>
      </c>
      <c r="H76" s="31" t="s">
        <v>59</v>
      </c>
      <c r="L76" s="36"/>
      <c r="M76" s="5"/>
    </row>
    <row r="77">
      <c r="C77" s="5"/>
      <c r="F77" s="5" t="s">
        <v>9</v>
      </c>
      <c r="G77" s="2" t="s">
        <v>165</v>
      </c>
      <c r="H77" s="31" t="s">
        <v>59</v>
      </c>
      <c r="M77" s="5"/>
    </row>
    <row r="78">
      <c r="C78" s="5"/>
      <c r="F78" s="5" t="s">
        <v>9</v>
      </c>
      <c r="G78" s="2" t="s">
        <v>168</v>
      </c>
      <c r="H78" s="31" t="s">
        <v>59</v>
      </c>
      <c r="L78" s="6"/>
      <c r="M78" s="6"/>
    </row>
    <row r="79">
      <c r="B79" s="2"/>
      <c r="C79" s="5"/>
      <c r="F79" s="5" t="s">
        <v>9</v>
      </c>
      <c r="G79" s="2" t="s">
        <v>94</v>
      </c>
      <c r="H79" s="31" t="s">
        <v>59</v>
      </c>
    </row>
    <row r="80">
      <c r="C80" s="5"/>
      <c r="F80" s="5" t="s">
        <v>9</v>
      </c>
      <c r="G80" s="2" t="s">
        <v>96</v>
      </c>
      <c r="H80" s="31" t="s">
        <v>59</v>
      </c>
    </row>
    <row r="81">
      <c r="A81" s="2"/>
      <c r="F81" s="5" t="s">
        <v>9</v>
      </c>
      <c r="G81" s="2" t="s">
        <v>171</v>
      </c>
      <c r="H81" s="31" t="s">
        <v>59</v>
      </c>
    </row>
    <row r="82">
      <c r="A82" s="2"/>
      <c r="F82" s="5" t="s">
        <v>9</v>
      </c>
      <c r="G82" s="2" t="s">
        <v>227</v>
      </c>
      <c r="H82" s="31" t="s">
        <v>59</v>
      </c>
    </row>
    <row r="83">
      <c r="A83" s="2"/>
      <c r="F83" s="5" t="s">
        <v>9</v>
      </c>
      <c r="G83" s="2" t="s">
        <v>217</v>
      </c>
      <c r="H83" s="31" t="s">
        <v>59</v>
      </c>
    </row>
    <row r="84">
      <c r="A84" s="2"/>
      <c r="F84" s="5" t="s">
        <v>9</v>
      </c>
      <c r="G84" s="5" t="s">
        <v>113</v>
      </c>
      <c r="H84" s="31" t="s">
        <v>59</v>
      </c>
    </row>
    <row r="85">
      <c r="A85" s="2"/>
      <c r="F85" s="5" t="s">
        <v>9</v>
      </c>
      <c r="G85" s="2" t="s">
        <v>169</v>
      </c>
      <c r="H85" s="31"/>
    </row>
    <row r="86">
      <c r="A86" s="2"/>
      <c r="F86" s="5" t="s">
        <v>9</v>
      </c>
      <c r="G86" s="5" t="s">
        <v>211</v>
      </c>
      <c r="H86" s="31"/>
    </row>
    <row r="87">
      <c r="A87" s="2"/>
      <c r="F87" s="5" t="s">
        <v>9</v>
      </c>
      <c r="G87" s="5" t="s">
        <v>112</v>
      </c>
      <c r="H87" s="31" t="s">
        <v>59</v>
      </c>
    </row>
    <row r="88">
      <c r="A88" s="2"/>
      <c r="F88" s="5" t="s">
        <v>9</v>
      </c>
      <c r="G88" s="5" t="s">
        <v>115</v>
      </c>
      <c r="H88" s="31"/>
    </row>
    <row r="89">
      <c r="A89" s="2"/>
      <c r="F89" s="5" t="s">
        <v>11</v>
      </c>
      <c r="G89" s="2" t="s">
        <v>60</v>
      </c>
      <c r="H89" s="31" t="s">
        <v>59</v>
      </c>
    </row>
    <row r="90">
      <c r="A90" s="2"/>
      <c r="F90" s="6"/>
      <c r="G90" s="44"/>
      <c r="H90" s="31"/>
    </row>
    <row r="91">
      <c r="A91" s="2"/>
      <c r="F91" s="6"/>
      <c r="G91" s="2"/>
      <c r="H91" s="31"/>
    </row>
    <row r="92">
      <c r="A92" s="2"/>
      <c r="F92" s="6"/>
      <c r="G92" s="2"/>
      <c r="H92" s="31"/>
    </row>
    <row r="93">
      <c r="A93" s="2"/>
      <c r="F93" s="6"/>
      <c r="G93" s="2"/>
      <c r="H93" s="31"/>
    </row>
    <row r="94">
      <c r="A94" s="2"/>
      <c r="F94" s="6"/>
      <c r="H94" s="5"/>
    </row>
    <row r="95">
      <c r="A95" s="2"/>
      <c r="F95" s="6"/>
      <c r="H95" s="5"/>
    </row>
    <row r="96">
      <c r="A96" s="2"/>
      <c r="H96" s="5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5.88"/>
    <col customWidth="1" min="3" max="14" width="16.5"/>
  </cols>
  <sheetData>
    <row r="1" ht="22.5" customHeight="1">
      <c r="A1" s="47" t="s">
        <v>228</v>
      </c>
      <c r="B1" s="47" t="s">
        <v>229</v>
      </c>
      <c r="C1" s="48" t="s">
        <v>230</v>
      </c>
      <c r="D1" s="49" t="s">
        <v>231</v>
      </c>
      <c r="E1" s="49" t="s">
        <v>232</v>
      </c>
      <c r="F1" s="48" t="s">
        <v>233</v>
      </c>
      <c r="G1" s="49" t="s">
        <v>234</v>
      </c>
      <c r="H1" s="49" t="s">
        <v>235</v>
      </c>
      <c r="I1" s="48" t="s">
        <v>236</v>
      </c>
      <c r="J1" s="49" t="s">
        <v>237</v>
      </c>
      <c r="K1" s="49" t="s">
        <v>238</v>
      </c>
      <c r="L1" s="48" t="s">
        <v>239</v>
      </c>
      <c r="M1" s="49" t="s">
        <v>240</v>
      </c>
      <c r="N1" s="49" t="s">
        <v>241</v>
      </c>
    </row>
    <row r="2" ht="22.5" customHeight="1">
      <c r="A2" s="50" t="s">
        <v>27</v>
      </c>
      <c r="B2" s="51">
        <f t="shared" ref="B2:B199" si="1">countif(C2:N2,"o")</f>
        <v>2</v>
      </c>
      <c r="C2" s="52" t="str">
        <f>if(iferror(match(A2,'March 22 - RCH 301'!B:B,0),FALSE),"o","")</f>
        <v>o</v>
      </c>
      <c r="D2" s="53" t="str">
        <f>if(iferror(match(A2,'March 22 - RCH 301'!G:G,0),FALSE),"o","")</f>
        <v>o</v>
      </c>
      <c r="E2" s="54" t="str">
        <f>if(iferror(match(A2,'March 22 - RCH 301'!L:L,0),FALSE),"o","")</f>
        <v/>
      </c>
      <c r="F2" s="55" t="str">
        <f>if(iferror(match(A2,'March 23 - M3 1006'!B:B,0),FALSE),"o","")</f>
        <v/>
      </c>
      <c r="G2" s="54" t="str">
        <f>if(iferror(match(A2,'March 23 - M3 1006'!G:G,0),FALSE),"o","")</f>
        <v/>
      </c>
      <c r="H2" s="54" t="str">
        <f>if(iferror(match(A2,'March 23 - M3 1006'!L:L,0),FALSE),"o","")</f>
        <v/>
      </c>
      <c r="I2" s="55" t="str">
        <f>if(iferror(match(A2,'March 29 - M3 1006'!B:B,0),FALSE),"o","")</f>
        <v/>
      </c>
      <c r="J2" s="54" t="str">
        <f>if(iferror(match(A2,'March 29 - M3 1006'!G:G,0),FALSE),"o","")</f>
        <v/>
      </c>
      <c r="K2" s="54" t="str">
        <f>if(iferror(match(A2,'March 29 - M3 1006'!L:L,0),FALSE),"o","")</f>
        <v/>
      </c>
      <c r="L2" s="55" t="str">
        <f>if(iferror(match(A2,'March 30 - M3 1006'!B:B,0),FALSE),"o","")</f>
        <v/>
      </c>
      <c r="M2" s="54" t="str">
        <f>if(iferror(match(A2,'March 30 - M3 1006'!G:G,0),FALSE),"o","")</f>
        <v/>
      </c>
      <c r="N2" s="54" t="str">
        <f>if(iferror(match(A2,'March 30 - M3 1006'!L:L,0),FALSE),"o","")</f>
        <v/>
      </c>
    </row>
    <row r="3" ht="22.5" customHeight="1">
      <c r="A3" s="50" t="s">
        <v>29</v>
      </c>
      <c r="B3" s="56">
        <f t="shared" si="1"/>
        <v>12</v>
      </c>
      <c r="C3" s="52" t="str">
        <f>if(iferror(match(A3,'March 22 - RCH 301'!B:B,0),FALSE),"o","")</f>
        <v>o</v>
      </c>
      <c r="D3" s="53" t="str">
        <f>if(iferror(match(A3,'March 22 - RCH 301'!G:G,0),FALSE),"o","")</f>
        <v>o</v>
      </c>
      <c r="E3" s="54" t="str">
        <f>if(iferror(match(A3,'March 22 - RCH 301'!L:L,0),FALSE),"o","")</f>
        <v>o</v>
      </c>
      <c r="F3" s="55" t="str">
        <f>if(iferror(match(A3,'March 23 - M3 1006'!B:B,0),FALSE),"o","")</f>
        <v>o</v>
      </c>
      <c r="G3" s="54" t="str">
        <f>if(iferror(match(A3,'March 23 - M3 1006'!G:G,0),FALSE),"o","")</f>
        <v>o</v>
      </c>
      <c r="H3" s="54" t="str">
        <f>if(iferror(match(A3,'March 23 - M3 1006'!L:L,0),FALSE),"o","")</f>
        <v>o</v>
      </c>
      <c r="I3" s="55" t="str">
        <f>if(iferror(match(A3,'March 29 - M3 1006'!B:B,0),FALSE),"o","")</f>
        <v>o</v>
      </c>
      <c r="J3" s="54" t="str">
        <f>if(iferror(match(A3,'March 29 - M3 1006'!G:G,0),FALSE),"o","")</f>
        <v>o</v>
      </c>
      <c r="K3" s="54" t="str">
        <f>if(iferror(match(A3,'March 29 - M3 1006'!L:L,0),FALSE),"o","")</f>
        <v>o</v>
      </c>
      <c r="L3" s="55" t="str">
        <f>if(iferror(match(A3,'March 30 - M3 1006'!B:B,0),FALSE),"o","")</f>
        <v>o</v>
      </c>
      <c r="M3" s="54" t="str">
        <f>if(iferror(match(A3,'March 30 - M3 1006'!G:G,0),FALSE),"o","")</f>
        <v>o</v>
      </c>
      <c r="N3" s="54" t="str">
        <f>if(iferror(match(A3,'March 30 - M3 1006'!L:L,0),FALSE),"o","")</f>
        <v>o</v>
      </c>
    </row>
    <row r="4" ht="22.5" customHeight="1">
      <c r="A4" s="50" t="s">
        <v>33</v>
      </c>
      <c r="B4" s="56">
        <f t="shared" si="1"/>
        <v>6</v>
      </c>
      <c r="C4" s="52" t="str">
        <f>if(iferror(match(A4,'March 22 - RCH 301'!B:B,0),FALSE),"o","")</f>
        <v>o</v>
      </c>
      <c r="D4" s="53" t="str">
        <f>if(iferror(match(A4,'March 22 - RCH 301'!G:G,0),FALSE),"o","")</f>
        <v>o</v>
      </c>
      <c r="E4" s="54" t="str">
        <f>if(iferror(match(A4,'March 22 - RCH 301'!L:L,0),FALSE),"o","")</f>
        <v>o</v>
      </c>
      <c r="F4" s="55" t="str">
        <f>if(iferror(match(A4,'March 23 - M3 1006'!B:B,0),FALSE),"o","")</f>
        <v>o</v>
      </c>
      <c r="G4" s="54" t="str">
        <f>if(iferror(match(A4,'March 23 - M3 1006'!G:G,0),FALSE),"o","")</f>
        <v>o</v>
      </c>
      <c r="H4" s="54" t="str">
        <f>if(iferror(match(A4,'March 23 - M3 1006'!L:L,0),FALSE),"o","")</f>
        <v>o</v>
      </c>
      <c r="I4" s="55" t="str">
        <f>if(iferror(match(A4,'March 29 - M3 1006'!B:B,0),FALSE),"o","")</f>
        <v/>
      </c>
      <c r="J4" s="54" t="str">
        <f>if(iferror(match(A4,'March 29 - M3 1006'!G:G,0),FALSE),"o","")</f>
        <v/>
      </c>
      <c r="K4" s="54" t="str">
        <f>if(iferror(match(A4,'March 29 - M3 1006'!L:L,0),FALSE),"o","")</f>
        <v/>
      </c>
      <c r="L4" s="55" t="str">
        <f>if(iferror(match(A4,'March 30 - M3 1006'!B:B,0),FALSE),"o","")</f>
        <v/>
      </c>
      <c r="M4" s="54" t="str">
        <f>if(iferror(match(A4,'March 30 - M3 1006'!G:G,0),FALSE),"o","")</f>
        <v/>
      </c>
      <c r="N4" s="54" t="str">
        <f>if(iferror(match(A4,'March 30 - M3 1006'!L:L,0),FALSE),"o","")</f>
        <v/>
      </c>
    </row>
    <row r="5" ht="22.5" customHeight="1">
      <c r="A5" s="50" t="s">
        <v>121</v>
      </c>
      <c r="B5" s="56">
        <f t="shared" si="1"/>
        <v>6</v>
      </c>
      <c r="C5" s="52" t="str">
        <f>if(iferror(match(A5,'March 22 - RCH 301'!B:B,0),FALSE),"o","")</f>
        <v/>
      </c>
      <c r="D5" s="53" t="str">
        <f>if(iferror(match(A5,'March 22 - RCH 301'!G:G,0),FALSE),"o","")</f>
        <v/>
      </c>
      <c r="E5" s="54" t="str">
        <f>if(iferror(match(A5,'March 22 - RCH 301'!L:L,0),FALSE),"o","")</f>
        <v/>
      </c>
      <c r="F5" s="55" t="str">
        <f>if(iferror(match(A5,'March 23 - M3 1006'!B:B,0),FALSE),"o","")</f>
        <v>o</v>
      </c>
      <c r="G5" s="54" t="str">
        <f>if(iferror(match(A5,'March 23 - M3 1006'!G:G,0),FALSE),"o","")</f>
        <v>o</v>
      </c>
      <c r="H5" s="54" t="str">
        <f>if(iferror(match(A5,'March 23 - M3 1006'!L:L,0),FALSE),"o","")</f>
        <v>o</v>
      </c>
      <c r="I5" s="55" t="str">
        <f>if(iferror(match(A5,'March 29 - M3 1006'!B:B,0),FALSE),"o","")</f>
        <v/>
      </c>
      <c r="J5" s="54" t="str">
        <f>if(iferror(match(A5,'March 29 - M3 1006'!G:G,0),FALSE),"o","")</f>
        <v/>
      </c>
      <c r="K5" s="54" t="str">
        <f>if(iferror(match(A5,'March 29 - M3 1006'!L:L,0),FALSE),"o","")</f>
        <v/>
      </c>
      <c r="L5" s="55" t="str">
        <f>if(iferror(match(A5,'March 30 - M3 1006'!B:B,0),FALSE),"o","")</f>
        <v>o</v>
      </c>
      <c r="M5" s="54" t="str">
        <f>if(iferror(match(A5,'March 30 - M3 1006'!G:G,0),FALSE),"o","")</f>
        <v>o</v>
      </c>
      <c r="N5" s="54" t="str">
        <f>if(iferror(match(A5,'March 30 - M3 1006'!L:L,0),FALSE),"o","")</f>
        <v>o</v>
      </c>
    </row>
    <row r="6" ht="22.5" customHeight="1">
      <c r="A6" s="50" t="s">
        <v>32</v>
      </c>
      <c r="B6" s="56">
        <f t="shared" si="1"/>
        <v>12</v>
      </c>
      <c r="C6" s="52" t="str">
        <f>if(iferror(match(A6,'March 22 - RCH 301'!B:B,0),FALSE),"o","")</f>
        <v>o</v>
      </c>
      <c r="D6" s="53" t="str">
        <f>if(iferror(match(A6,'March 22 - RCH 301'!G:G,0),FALSE),"o","")</f>
        <v>o</v>
      </c>
      <c r="E6" s="54" t="str">
        <f>if(iferror(match(A6,'March 22 - RCH 301'!L:L,0),FALSE),"o","")</f>
        <v>o</v>
      </c>
      <c r="F6" s="55" t="str">
        <f>if(iferror(match(A6,'March 23 - M3 1006'!B:B,0),FALSE),"o","")</f>
        <v>o</v>
      </c>
      <c r="G6" s="54" t="str">
        <f>if(iferror(match(A6,'March 23 - M3 1006'!G:G,0),FALSE),"o","")</f>
        <v>o</v>
      </c>
      <c r="H6" s="54" t="str">
        <f>if(iferror(match(A6,'March 23 - M3 1006'!L:L,0),FALSE),"o","")</f>
        <v>o</v>
      </c>
      <c r="I6" s="55" t="str">
        <f>if(iferror(match(A6,'March 29 - M3 1006'!B:B,0),FALSE),"o","")</f>
        <v>o</v>
      </c>
      <c r="J6" s="54" t="str">
        <f>if(iferror(match(A6,'March 29 - M3 1006'!G:G,0),FALSE),"o","")</f>
        <v>o</v>
      </c>
      <c r="K6" s="54" t="str">
        <f>if(iferror(match(A6,'March 29 - M3 1006'!L:L,0),FALSE),"o","")</f>
        <v>o</v>
      </c>
      <c r="L6" s="55" t="str">
        <f>if(iferror(match(A6,'March 30 - M3 1006'!B:B,0),FALSE),"o","")</f>
        <v>o</v>
      </c>
      <c r="M6" s="54" t="str">
        <f>if(iferror(match(A6,'March 30 - M3 1006'!G:G,0),FALSE),"o","")</f>
        <v>o</v>
      </c>
      <c r="N6" s="54" t="str">
        <f>if(iferror(match(A6,'March 30 - M3 1006'!L:L,0),FALSE),"o","")</f>
        <v>o</v>
      </c>
    </row>
    <row r="7" ht="22.5" customHeight="1">
      <c r="A7" s="50" t="s">
        <v>35</v>
      </c>
      <c r="B7" s="56">
        <f t="shared" si="1"/>
        <v>10</v>
      </c>
      <c r="C7" s="52" t="str">
        <f>if(iferror(match(A7,'March 22 - RCH 301'!B:B,0),FALSE),"o","")</f>
        <v>o</v>
      </c>
      <c r="D7" s="53" t="str">
        <f>if(iferror(match(A7,'March 22 - RCH 301'!G:G,0),FALSE),"o","")</f>
        <v>o</v>
      </c>
      <c r="E7" s="54" t="str">
        <f>if(iferror(match(A7,'March 22 - RCH 301'!L:L,0),FALSE),"o","")</f>
        <v>o</v>
      </c>
      <c r="F7" s="55" t="str">
        <f>if(iferror(match(A7,'March 23 - M3 1006'!B:B,0),FALSE),"o","")</f>
        <v>o</v>
      </c>
      <c r="G7" s="54" t="str">
        <f>if(iferror(match(A7,'March 23 - M3 1006'!G:G,0),FALSE),"o","")</f>
        <v>o</v>
      </c>
      <c r="H7" s="54" t="str">
        <f>if(iferror(match(A7,'March 23 - M3 1006'!L:L,0),FALSE),"o","")</f>
        <v/>
      </c>
      <c r="I7" s="55" t="str">
        <f>if(iferror(match(A7,'March 29 - M3 1006'!B:B,0),FALSE),"o","")</f>
        <v>o</v>
      </c>
      <c r="J7" s="54" t="str">
        <f>if(iferror(match(A7,'March 29 - M3 1006'!G:G,0),FALSE),"o","")</f>
        <v>o</v>
      </c>
      <c r="K7" s="54" t="str">
        <f>if(iferror(match(A7,'March 29 - M3 1006'!L:L,0),FALSE),"o","")</f>
        <v>o</v>
      </c>
      <c r="L7" s="55" t="str">
        <f>if(iferror(match(A7,'March 30 - M3 1006'!B:B,0),FALSE),"o","")</f>
        <v>o</v>
      </c>
      <c r="M7" s="54" t="str">
        <f>if(iferror(match(A7,'March 30 - M3 1006'!G:G,0),FALSE),"o","")</f>
        <v>o</v>
      </c>
      <c r="N7" s="54" t="str">
        <f>if(iferror(match(A7,'March 30 - M3 1006'!L:L,0),FALSE),"o","")</f>
        <v/>
      </c>
    </row>
    <row r="8" ht="22.5" customHeight="1">
      <c r="A8" s="50" t="s">
        <v>120</v>
      </c>
      <c r="B8" s="56">
        <f t="shared" si="1"/>
        <v>7</v>
      </c>
      <c r="C8" s="52" t="str">
        <f>if(iferror(match(A8,'March 22 - RCH 301'!B:B,0),FALSE),"o","")</f>
        <v/>
      </c>
      <c r="D8" s="53" t="str">
        <f>if(iferror(match(A8,'March 22 - RCH 301'!G:G,0),FALSE),"o","")</f>
        <v/>
      </c>
      <c r="E8" s="54" t="str">
        <f>if(iferror(match(A8,'March 22 - RCH 301'!L:L,0),FALSE),"o","")</f>
        <v/>
      </c>
      <c r="F8" s="55" t="str">
        <f>if(iferror(match(A8,'March 23 - M3 1006'!B:B,0),FALSE),"o","")</f>
        <v>o</v>
      </c>
      <c r="G8" s="54" t="str">
        <f>if(iferror(match(A8,'March 23 - M3 1006'!G:G,0),FALSE),"o","")</f>
        <v>o</v>
      </c>
      <c r="H8" s="54" t="str">
        <f>if(iferror(match(A8,'March 23 - M3 1006'!L:L,0),FALSE),"o","")</f>
        <v>o</v>
      </c>
      <c r="I8" s="55" t="str">
        <f>if(iferror(match(A8,'March 29 - M3 1006'!B:B,0),FALSE),"o","")</f>
        <v/>
      </c>
      <c r="J8" s="54" t="str">
        <f>if(iferror(match(A8,'March 29 - M3 1006'!G:G,0),FALSE),"o","")</f>
        <v/>
      </c>
      <c r="K8" s="54" t="str">
        <f>if(iferror(match(A8,'March 29 - M3 1006'!L:L,0),FALSE),"o","")</f>
        <v>o</v>
      </c>
      <c r="L8" s="55" t="str">
        <f>if(iferror(match(A8,'March 30 - M3 1006'!B:B,0),FALSE),"o","")</f>
        <v>o</v>
      </c>
      <c r="M8" s="54" t="str">
        <f>if(iferror(match(A8,'March 30 - M3 1006'!G:G,0),FALSE),"o","")</f>
        <v>o</v>
      </c>
      <c r="N8" s="54" t="str">
        <f>if(iferror(match(A8,'March 30 - M3 1006'!L:L,0),FALSE),"o","")</f>
        <v>o</v>
      </c>
    </row>
    <row r="9" ht="22.5" customHeight="1">
      <c r="A9" s="50" t="s">
        <v>56</v>
      </c>
      <c r="B9" s="56">
        <f t="shared" si="1"/>
        <v>2</v>
      </c>
      <c r="C9" s="52" t="str">
        <f>if(iferror(match(A9,'March 22 - RCH 301'!B:B,0),FALSE),"o","")</f>
        <v>o</v>
      </c>
      <c r="D9" s="53" t="str">
        <f>if(iferror(match(A9,'March 22 - RCH 301'!G:G,0),FALSE),"o","")</f>
        <v/>
      </c>
      <c r="E9" s="54" t="str">
        <f>if(iferror(match(A9,'March 22 - RCH 301'!L:L,0),FALSE),"o","")</f>
        <v/>
      </c>
      <c r="F9" s="55" t="str">
        <f>if(iferror(match(A9,'March 23 - M3 1006'!B:B,0),FALSE),"o","")</f>
        <v/>
      </c>
      <c r="G9" s="54" t="str">
        <f>if(iferror(match(A9,'March 23 - M3 1006'!G:G,0),FALSE),"o","")</f>
        <v/>
      </c>
      <c r="H9" s="54" t="str">
        <f>if(iferror(match(A9,'March 23 - M3 1006'!L:L,0),FALSE),"o","")</f>
        <v/>
      </c>
      <c r="I9" s="55" t="str">
        <f>if(iferror(match(A9,'March 29 - M3 1006'!B:B,0),FALSE),"o","")</f>
        <v>o</v>
      </c>
      <c r="J9" s="54" t="str">
        <f>if(iferror(match(A9,'March 29 - M3 1006'!G:G,0),FALSE),"o","")</f>
        <v/>
      </c>
      <c r="K9" s="54" t="str">
        <f>if(iferror(match(A9,'March 29 - M3 1006'!L:L,0),FALSE),"o","")</f>
        <v/>
      </c>
      <c r="L9" s="55" t="str">
        <f>if(iferror(match(A9,'March 30 - M3 1006'!B:B,0),FALSE),"o","")</f>
        <v/>
      </c>
      <c r="M9" s="54" t="str">
        <f>if(iferror(match(A9,'March 30 - M3 1006'!G:G,0),FALSE),"o","")</f>
        <v/>
      </c>
      <c r="N9" s="54" t="str">
        <f>if(iferror(match(A9,'March 30 - M3 1006'!L:L,0),FALSE),"o","")</f>
        <v/>
      </c>
    </row>
    <row r="10" ht="22.5" customHeight="1">
      <c r="A10" s="50" t="s">
        <v>182</v>
      </c>
      <c r="B10" s="56">
        <f t="shared" si="1"/>
        <v>4</v>
      </c>
      <c r="C10" s="52" t="str">
        <f>if(iferror(match(A10,'March 22 - RCH 301'!B:B,0),FALSE),"o","")</f>
        <v/>
      </c>
      <c r="D10" s="53" t="str">
        <f>if(iferror(match(A10,'March 22 - RCH 301'!G:G,0),FALSE),"o","")</f>
        <v/>
      </c>
      <c r="E10" s="54" t="str">
        <f>if(iferror(match(A10,'March 22 - RCH 301'!L:L,0),FALSE),"o","")</f>
        <v/>
      </c>
      <c r="F10" s="55" t="str">
        <f>if(iferror(match(A10,'March 23 - M3 1006'!B:B,0),FALSE),"o","")</f>
        <v/>
      </c>
      <c r="G10" s="54" t="str">
        <f>if(iferror(match(A10,'March 23 - M3 1006'!G:G,0),FALSE),"o","")</f>
        <v/>
      </c>
      <c r="H10" s="54" t="str">
        <f>if(iferror(match(A10,'March 23 - M3 1006'!L:L,0),FALSE),"o","")</f>
        <v/>
      </c>
      <c r="I10" s="55" t="str">
        <f>if(iferror(match(A10,'March 29 - M3 1006'!B:B,0),FALSE),"o","")</f>
        <v>o</v>
      </c>
      <c r="J10" s="54" t="str">
        <f>if(iferror(match(A10,'March 29 - M3 1006'!G:G,0),FALSE),"o","")</f>
        <v>o</v>
      </c>
      <c r="K10" s="54" t="str">
        <f>if(iferror(match(A10,'March 29 - M3 1006'!L:L,0),FALSE),"o","")</f>
        <v>o</v>
      </c>
      <c r="L10" s="55" t="str">
        <f>if(iferror(match(A10,'March 30 - M3 1006'!B:B,0),FALSE),"o","")</f>
        <v>o</v>
      </c>
      <c r="M10" s="54" t="str">
        <f>if(iferror(match(A10,'March 30 - M3 1006'!G:G,0),FALSE),"o","")</f>
        <v/>
      </c>
      <c r="N10" s="54" t="str">
        <f>if(iferror(match(A10,'March 30 - M3 1006'!L:L,0),FALSE),"o","")</f>
        <v/>
      </c>
    </row>
    <row r="11" ht="22.5" customHeight="1">
      <c r="A11" s="50" t="s">
        <v>36</v>
      </c>
      <c r="B11" s="56">
        <f t="shared" si="1"/>
        <v>6</v>
      </c>
      <c r="C11" s="52" t="str">
        <f>if(iferror(match(A11,'March 22 - RCH 301'!B:B,0),FALSE),"o","")</f>
        <v>o</v>
      </c>
      <c r="D11" s="53" t="str">
        <f>if(iferror(match(A11,'March 22 - RCH 301'!G:G,0),FALSE),"o","")</f>
        <v>o</v>
      </c>
      <c r="E11" s="54" t="str">
        <f>if(iferror(match(A11,'March 22 - RCH 301'!L:L,0),FALSE),"o","")</f>
        <v/>
      </c>
      <c r="F11" s="55" t="str">
        <f>if(iferror(match(A11,'March 23 - M3 1006'!B:B,0),FALSE),"o","")</f>
        <v>o</v>
      </c>
      <c r="G11" s="54" t="str">
        <f>if(iferror(match(A11,'March 23 - M3 1006'!G:G,0),FALSE),"o","")</f>
        <v>o</v>
      </c>
      <c r="H11" s="54" t="str">
        <f>if(iferror(match(A11,'March 23 - M3 1006'!L:L,0),FALSE),"o","")</f>
        <v/>
      </c>
      <c r="I11" s="55" t="str">
        <f>if(iferror(match(A11,'March 29 - M3 1006'!B:B,0),FALSE),"o","")</f>
        <v/>
      </c>
      <c r="J11" s="54" t="str">
        <f>if(iferror(match(A11,'March 29 - M3 1006'!G:G,0),FALSE),"o","")</f>
        <v/>
      </c>
      <c r="K11" s="54" t="str">
        <f>if(iferror(match(A11,'March 29 - M3 1006'!L:L,0),FALSE),"o","")</f>
        <v/>
      </c>
      <c r="L11" s="55" t="str">
        <f>if(iferror(match(A11,'March 30 - M3 1006'!B:B,0),FALSE),"o","")</f>
        <v>o</v>
      </c>
      <c r="M11" s="54" t="str">
        <f>if(iferror(match(A11,'March 30 - M3 1006'!G:G,0),FALSE),"o","")</f>
        <v>o</v>
      </c>
      <c r="N11" s="54" t="str">
        <f>if(iferror(match(A11,'March 30 - M3 1006'!L:L,0),FALSE),"o","")</f>
        <v/>
      </c>
    </row>
    <row r="12" ht="22.5" customHeight="1">
      <c r="A12" s="50" t="s">
        <v>125</v>
      </c>
      <c r="B12" s="56">
        <f t="shared" si="1"/>
        <v>4</v>
      </c>
      <c r="C12" s="52" t="str">
        <f>if(iferror(match(A12,'March 22 - RCH 301'!B:B,0),FALSE),"o","")</f>
        <v/>
      </c>
      <c r="D12" s="53" t="str">
        <f>if(iferror(match(A12,'March 22 - RCH 301'!G:G,0),FALSE),"o","")</f>
        <v/>
      </c>
      <c r="E12" s="54" t="str">
        <f>if(iferror(match(A12,'March 22 - RCH 301'!L:L,0),FALSE),"o","")</f>
        <v/>
      </c>
      <c r="F12" s="55" t="str">
        <f>if(iferror(match(A12,'March 23 - M3 1006'!B:B,0),FALSE),"o","")</f>
        <v/>
      </c>
      <c r="G12" s="54" t="str">
        <f>if(iferror(match(A12,'March 23 - M3 1006'!G:G,0),FALSE),"o","")</f>
        <v>o</v>
      </c>
      <c r="H12" s="54" t="str">
        <f>if(iferror(match(A12,'March 23 - M3 1006'!L:L,0),FALSE),"o","")</f>
        <v>o</v>
      </c>
      <c r="I12" s="55" t="str">
        <f>if(iferror(match(A12,'March 29 - M3 1006'!B:B,0),FALSE),"o","")</f>
        <v/>
      </c>
      <c r="J12" s="54" t="str">
        <f>if(iferror(match(A12,'March 29 - M3 1006'!G:G,0),FALSE),"o","")</f>
        <v/>
      </c>
      <c r="K12" s="54" t="str">
        <f>if(iferror(match(A12,'March 29 - M3 1006'!L:L,0),FALSE),"o","")</f>
        <v/>
      </c>
      <c r="L12" s="55" t="str">
        <f>if(iferror(match(A12,'March 30 - M3 1006'!B:B,0),FALSE),"o","")</f>
        <v/>
      </c>
      <c r="M12" s="54" t="str">
        <f>if(iferror(match(A12,'March 30 - M3 1006'!G:G,0),FALSE),"o","")</f>
        <v>o</v>
      </c>
      <c r="N12" s="54" t="str">
        <f>if(iferror(match(A12,'March 30 - M3 1006'!L:L,0),FALSE),"o","")</f>
        <v>o</v>
      </c>
    </row>
    <row r="13" ht="22.5" customHeight="1">
      <c r="A13" s="50" t="s">
        <v>37</v>
      </c>
      <c r="B13" s="56">
        <f t="shared" si="1"/>
        <v>10</v>
      </c>
      <c r="C13" s="52" t="str">
        <f>if(iferror(match(A13,'March 22 - RCH 301'!B:B,0),FALSE),"o","")</f>
        <v>o</v>
      </c>
      <c r="D13" s="53" t="str">
        <f>if(iferror(match(A13,'March 22 - RCH 301'!G:G,0),FALSE),"o","")</f>
        <v>o</v>
      </c>
      <c r="E13" s="54" t="str">
        <f>if(iferror(match(A13,'March 22 - RCH 301'!L:L,0),FALSE),"o","")</f>
        <v>o</v>
      </c>
      <c r="F13" s="55" t="str">
        <f>if(iferror(match(A13,'March 23 - M3 1006'!B:B,0),FALSE),"o","")</f>
        <v>o</v>
      </c>
      <c r="G13" s="54" t="str">
        <f>if(iferror(match(A13,'March 23 - M3 1006'!G:G,0),FALSE),"o","")</f>
        <v>o</v>
      </c>
      <c r="H13" s="54" t="str">
        <f>if(iferror(match(A13,'March 23 - M3 1006'!L:L,0),FALSE),"o","")</f>
        <v>o</v>
      </c>
      <c r="I13" s="55" t="str">
        <f>if(iferror(match(A13,'March 29 - M3 1006'!B:B,0),FALSE),"o","")</f>
        <v>o</v>
      </c>
      <c r="J13" s="54" t="str">
        <f>if(iferror(match(A13,'March 29 - M3 1006'!G:G,0),FALSE),"o","")</f>
        <v/>
      </c>
      <c r="K13" s="54" t="str">
        <f>if(iferror(match(A13,'March 29 - M3 1006'!L:L,0),FALSE),"o","")</f>
        <v>o</v>
      </c>
      <c r="L13" s="55" t="str">
        <f>if(iferror(match(A13,'March 30 - M3 1006'!B:B,0),FALSE),"o","")</f>
        <v>o</v>
      </c>
      <c r="M13" s="54" t="str">
        <f>if(iferror(match(A13,'March 30 - M3 1006'!G:G,0),FALSE),"o","")</f>
        <v/>
      </c>
      <c r="N13" s="54" t="str">
        <f>if(iferror(match(A13,'March 30 - M3 1006'!L:L,0),FALSE),"o","")</f>
        <v>o</v>
      </c>
    </row>
    <row r="14" ht="22.5" customHeight="1">
      <c r="A14" s="50" t="s">
        <v>38</v>
      </c>
      <c r="B14" s="56">
        <f t="shared" si="1"/>
        <v>4</v>
      </c>
      <c r="C14" s="52" t="str">
        <f>if(iferror(match(A14,'March 22 - RCH 301'!B:B,0),FALSE),"o","")</f>
        <v>o</v>
      </c>
      <c r="D14" s="53" t="str">
        <f>if(iferror(match(A14,'March 22 - RCH 301'!G:G,0),FALSE),"o","")</f>
        <v/>
      </c>
      <c r="E14" s="54" t="str">
        <f>if(iferror(match(A14,'March 22 - RCH 301'!L:L,0),FALSE),"o","")</f>
        <v>o</v>
      </c>
      <c r="F14" s="55" t="str">
        <f>if(iferror(match(A14,'March 23 - M3 1006'!B:B,0),FALSE),"o","")</f>
        <v>o</v>
      </c>
      <c r="G14" s="54" t="str">
        <f>if(iferror(match(A14,'March 23 - M3 1006'!G:G,0),FALSE),"o","")</f>
        <v/>
      </c>
      <c r="H14" s="54" t="str">
        <f>if(iferror(match(A14,'March 23 - M3 1006'!L:L,0),FALSE),"o","")</f>
        <v>o</v>
      </c>
      <c r="I14" s="55" t="str">
        <f>if(iferror(match(A14,'March 29 - M3 1006'!B:B,0),FALSE),"o","")</f>
        <v/>
      </c>
      <c r="J14" s="54" t="str">
        <f>if(iferror(match(A14,'March 29 - M3 1006'!G:G,0),FALSE),"o","")</f>
        <v/>
      </c>
      <c r="K14" s="54" t="str">
        <f>if(iferror(match(A14,'March 29 - M3 1006'!L:L,0),FALSE),"o","")</f>
        <v/>
      </c>
      <c r="L14" s="55" t="str">
        <f>if(iferror(match(A14,'March 30 - M3 1006'!B:B,0),FALSE),"o","")</f>
        <v/>
      </c>
      <c r="M14" s="54" t="str">
        <f>if(iferror(match(A14,'March 30 - M3 1006'!G:G,0),FALSE),"o","")</f>
        <v/>
      </c>
      <c r="N14" s="54" t="str">
        <f>if(iferror(match(A14,'March 30 - M3 1006'!L:L,0),FALSE),"o","")</f>
        <v/>
      </c>
    </row>
    <row r="15" ht="22.5" customHeight="1">
      <c r="A15" s="50" t="s">
        <v>41</v>
      </c>
      <c r="B15" s="56">
        <f t="shared" si="1"/>
        <v>2</v>
      </c>
      <c r="C15" s="52" t="str">
        <f>if(iferror(match(A15,'March 22 - RCH 301'!B:B,0),FALSE),"o","")</f>
        <v>o</v>
      </c>
      <c r="D15" s="53" t="str">
        <f>if(iferror(match(A15,'March 22 - RCH 301'!G:G,0),FALSE),"o","")</f>
        <v>o</v>
      </c>
      <c r="E15" s="54" t="str">
        <f>if(iferror(match(A15,'March 22 - RCH 301'!L:L,0),FALSE),"o","")</f>
        <v/>
      </c>
      <c r="F15" s="55" t="str">
        <f>if(iferror(match(A15,'March 23 - M3 1006'!B:B,0),FALSE),"o","")</f>
        <v/>
      </c>
      <c r="G15" s="54" t="str">
        <f>if(iferror(match(A15,'March 23 - M3 1006'!G:G,0),FALSE),"o","")</f>
        <v/>
      </c>
      <c r="H15" s="54" t="str">
        <f>if(iferror(match(A15,'March 23 - M3 1006'!L:L,0),FALSE),"o","")</f>
        <v/>
      </c>
      <c r="I15" s="55" t="str">
        <f>if(iferror(match(A15,'March 29 - M3 1006'!B:B,0),FALSE),"o","")</f>
        <v/>
      </c>
      <c r="J15" s="54" t="str">
        <f>if(iferror(match(A15,'March 29 - M3 1006'!G:G,0),FALSE),"o","")</f>
        <v/>
      </c>
      <c r="K15" s="54" t="str">
        <f>if(iferror(match(A15,'March 29 - M3 1006'!L:L,0),FALSE),"o","")</f>
        <v/>
      </c>
      <c r="L15" s="55" t="str">
        <f>if(iferror(match(A15,'March 30 - M3 1006'!B:B,0),FALSE),"o","")</f>
        <v/>
      </c>
      <c r="M15" s="54" t="str">
        <f>if(iferror(match(A15,'March 30 - M3 1006'!G:G,0),FALSE),"o","")</f>
        <v/>
      </c>
      <c r="N15" s="54" t="str">
        <f>if(iferror(match(A15,'March 30 - M3 1006'!L:L,0),FALSE),"o","")</f>
        <v/>
      </c>
    </row>
    <row r="16" ht="22.5" customHeight="1">
      <c r="A16" s="50" t="s">
        <v>42</v>
      </c>
      <c r="B16" s="56">
        <f t="shared" si="1"/>
        <v>2</v>
      </c>
      <c r="C16" s="52" t="str">
        <f>if(iferror(match(A16,'March 22 - RCH 301'!B:B,0),FALSE),"o","")</f>
        <v>o</v>
      </c>
      <c r="D16" s="53" t="str">
        <f>if(iferror(match(A16,'March 22 - RCH 301'!G:G,0),FALSE),"o","")</f>
        <v>o</v>
      </c>
      <c r="E16" s="54" t="str">
        <f>if(iferror(match(A16,'March 22 - RCH 301'!L:L,0),FALSE),"o","")</f>
        <v/>
      </c>
      <c r="F16" s="55" t="str">
        <f>if(iferror(match(A16,'March 23 - M3 1006'!B:B,0),FALSE),"o","")</f>
        <v/>
      </c>
      <c r="G16" s="54" t="str">
        <f>if(iferror(match(A16,'March 23 - M3 1006'!G:G,0),FALSE),"o","")</f>
        <v/>
      </c>
      <c r="H16" s="54" t="str">
        <f>if(iferror(match(A16,'March 23 - M3 1006'!L:L,0),FALSE),"o","")</f>
        <v/>
      </c>
      <c r="I16" s="55" t="str">
        <f>if(iferror(match(A16,'March 29 - M3 1006'!B:B,0),FALSE),"o","")</f>
        <v/>
      </c>
      <c r="J16" s="54" t="str">
        <f>if(iferror(match(A16,'March 29 - M3 1006'!G:G,0),FALSE),"o","")</f>
        <v/>
      </c>
      <c r="K16" s="54" t="str">
        <f>if(iferror(match(A16,'March 29 - M3 1006'!L:L,0),FALSE),"o","")</f>
        <v/>
      </c>
      <c r="L16" s="55" t="str">
        <f>if(iferror(match(A16,'March 30 - M3 1006'!B:B,0),FALSE),"o","")</f>
        <v/>
      </c>
      <c r="M16" s="54" t="str">
        <f>if(iferror(match(A16,'March 30 - M3 1006'!G:G,0),FALSE),"o","")</f>
        <v/>
      </c>
      <c r="N16" s="54" t="str">
        <f>if(iferror(match(A16,'March 30 - M3 1006'!L:L,0),FALSE),"o","")</f>
        <v/>
      </c>
    </row>
    <row r="17" ht="22.5" customHeight="1">
      <c r="A17" s="50" t="s">
        <v>189</v>
      </c>
      <c r="B17" s="56">
        <f t="shared" si="1"/>
        <v>4</v>
      </c>
      <c r="C17" s="52" t="str">
        <f>if(iferror(match(A17,'March 22 - RCH 301'!B:B,0),FALSE),"o","")</f>
        <v/>
      </c>
      <c r="D17" s="53" t="str">
        <f>if(iferror(match(A17,'March 22 - RCH 301'!G:G,0),FALSE),"o","")</f>
        <v/>
      </c>
      <c r="E17" s="54" t="str">
        <f>if(iferror(match(A17,'March 22 - RCH 301'!L:L,0),FALSE),"o","")</f>
        <v/>
      </c>
      <c r="F17" s="55" t="str">
        <f>if(iferror(match(A17,'March 23 - M3 1006'!B:B,0),FALSE),"o","")</f>
        <v/>
      </c>
      <c r="G17" s="54" t="str">
        <f>if(iferror(match(A17,'March 23 - M3 1006'!G:G,0),FALSE),"o","")</f>
        <v/>
      </c>
      <c r="H17" s="54" t="str">
        <f>if(iferror(match(A17,'March 23 - M3 1006'!L:L,0),FALSE),"o","")</f>
        <v/>
      </c>
      <c r="I17" s="55" t="str">
        <f>if(iferror(match(A17,'March 29 - M3 1006'!B:B,0),FALSE),"o","")</f>
        <v/>
      </c>
      <c r="J17" s="54" t="str">
        <f>if(iferror(match(A17,'March 29 - M3 1006'!G:G,0),FALSE),"o","")</f>
        <v>o</v>
      </c>
      <c r="K17" s="54" t="str">
        <f>if(iferror(match(A17,'March 29 - M3 1006'!L:L,0),FALSE),"o","")</f>
        <v>o</v>
      </c>
      <c r="L17" s="55" t="str">
        <f>if(iferror(match(A17,'March 30 - M3 1006'!B:B,0),FALSE),"o","")</f>
        <v>o</v>
      </c>
      <c r="M17" s="54" t="str">
        <f>if(iferror(match(A17,'March 30 - M3 1006'!G:G,0),FALSE),"o","")</f>
        <v>o</v>
      </c>
      <c r="N17" s="54" t="str">
        <f>if(iferror(match(A17,'March 30 - M3 1006'!L:L,0),FALSE),"o","")</f>
        <v/>
      </c>
    </row>
    <row r="18" ht="22.5" customHeight="1">
      <c r="A18" s="50" t="s">
        <v>242</v>
      </c>
      <c r="B18" s="56">
        <f t="shared" si="1"/>
        <v>0</v>
      </c>
      <c r="C18" s="52" t="str">
        <f>if(iferror(match(A18,'March 22 - RCH 301'!B:B,0),FALSE),"o","")</f>
        <v/>
      </c>
      <c r="D18" s="53" t="str">
        <f>if(iferror(match(A18,'March 22 - RCH 301'!G:G,0),FALSE),"o","")</f>
        <v/>
      </c>
      <c r="E18" s="54" t="str">
        <f>if(iferror(match(A18,'March 22 - RCH 301'!L:L,0),FALSE),"o","")</f>
        <v/>
      </c>
      <c r="F18" s="55" t="str">
        <f>if(iferror(match(A18,'March 23 - M3 1006'!B:B,0),FALSE),"o","")</f>
        <v/>
      </c>
      <c r="G18" s="54" t="str">
        <f>if(iferror(match(A18,'March 23 - M3 1006'!G:G,0),FALSE),"o","")</f>
        <v/>
      </c>
      <c r="H18" s="54" t="str">
        <f>if(iferror(match(A18,'March 23 - M3 1006'!L:L,0),FALSE),"o","")</f>
        <v/>
      </c>
      <c r="I18" s="55" t="str">
        <f>if(iferror(match(A18,'March 29 - M3 1006'!B:B,0),FALSE),"o","")</f>
        <v/>
      </c>
      <c r="J18" s="54" t="str">
        <f>if(iferror(match(A18,'March 29 - M3 1006'!G:G,0),FALSE),"o","")</f>
        <v/>
      </c>
      <c r="K18" s="54" t="str">
        <f>if(iferror(match(A18,'March 29 - M3 1006'!L:L,0),FALSE),"o","")</f>
        <v/>
      </c>
      <c r="L18" s="55" t="str">
        <f>if(iferror(match(A18,'March 30 - M3 1006'!B:B,0),FALSE),"o","")</f>
        <v/>
      </c>
      <c r="M18" s="54" t="str">
        <f>if(iferror(match(A18,'March 30 - M3 1006'!G:G,0),FALSE),"o","")</f>
        <v/>
      </c>
      <c r="N18" s="54" t="str">
        <f>if(iferror(match(A18,'March 30 - M3 1006'!L:L,0),FALSE),"o","")</f>
        <v/>
      </c>
    </row>
    <row r="19" ht="22.5" customHeight="1">
      <c r="A19" s="50" t="s">
        <v>174</v>
      </c>
      <c r="B19" s="56">
        <f t="shared" si="1"/>
        <v>2</v>
      </c>
      <c r="C19" s="52" t="str">
        <f>if(iferror(match(A19,'March 22 - RCH 301'!B:B,0),FALSE),"o","")</f>
        <v/>
      </c>
      <c r="D19" s="53" t="str">
        <f>if(iferror(match(A19,'March 22 - RCH 301'!G:G,0),FALSE),"o","")</f>
        <v/>
      </c>
      <c r="E19" s="54" t="str">
        <f>if(iferror(match(A19,'March 22 - RCH 301'!L:L,0),FALSE),"o","")</f>
        <v/>
      </c>
      <c r="F19" s="55" t="str">
        <f>if(iferror(match(A19,'March 23 - M3 1006'!B:B,0),FALSE),"o","")</f>
        <v/>
      </c>
      <c r="G19" s="54" t="str">
        <f>if(iferror(match(A19,'March 23 - M3 1006'!G:G,0),FALSE),"o","")</f>
        <v/>
      </c>
      <c r="H19" s="54" t="str">
        <f>if(iferror(match(A19,'March 23 - M3 1006'!L:L,0),FALSE),"o","")</f>
        <v/>
      </c>
      <c r="I19" s="55" t="str">
        <f>if(iferror(match(A19,'March 29 - M3 1006'!B:B,0),FALSE),"o","")</f>
        <v>o</v>
      </c>
      <c r="J19" s="54" t="str">
        <f>if(iferror(match(A19,'March 29 - M3 1006'!G:G,0),FALSE),"o","")</f>
        <v>o</v>
      </c>
      <c r="K19" s="54" t="str">
        <f>if(iferror(match(A19,'March 29 - M3 1006'!L:L,0),FALSE),"o","")</f>
        <v/>
      </c>
      <c r="L19" s="55" t="str">
        <f>if(iferror(match(A19,'March 30 - M3 1006'!B:B,0),FALSE),"o","")</f>
        <v/>
      </c>
      <c r="M19" s="54" t="str">
        <f>if(iferror(match(A19,'March 30 - M3 1006'!G:G,0),FALSE),"o","")</f>
        <v/>
      </c>
      <c r="N19" s="54" t="str">
        <f>if(iferror(match(A19,'March 30 - M3 1006'!L:L,0),FALSE),"o","")</f>
        <v/>
      </c>
    </row>
    <row r="20" ht="22.5" customHeight="1">
      <c r="A20" s="50" t="s">
        <v>13</v>
      </c>
      <c r="B20" s="56">
        <f t="shared" si="1"/>
        <v>8</v>
      </c>
      <c r="C20" s="52" t="str">
        <f>if(iferror(match(A20,'March 22 - RCH 301'!B:B,0),FALSE),"o","")</f>
        <v>o</v>
      </c>
      <c r="D20" s="53" t="str">
        <f>if(iferror(match(A20,'March 22 - RCH 301'!G:G,0),FALSE),"o","")</f>
        <v>o</v>
      </c>
      <c r="E20" s="54" t="str">
        <f>if(iferror(match(A20,'March 22 - RCH 301'!L:L,0),FALSE),"o","")</f>
        <v>o</v>
      </c>
      <c r="F20" s="55" t="str">
        <f>if(iferror(match(A20,'March 23 - M3 1006'!B:B,0),FALSE),"o","")</f>
        <v>o</v>
      </c>
      <c r="G20" s="54" t="str">
        <f>if(iferror(match(A20,'March 23 - M3 1006'!G:G,0),FALSE),"o","")</f>
        <v/>
      </c>
      <c r="H20" s="54" t="str">
        <f>if(iferror(match(A20,'March 23 - M3 1006'!L:L,0),FALSE),"o","")</f>
        <v/>
      </c>
      <c r="I20" s="55" t="str">
        <f>if(iferror(match(A20,'March 29 - M3 1006'!B:B,0),FALSE),"o","")</f>
        <v>o</v>
      </c>
      <c r="J20" s="54" t="str">
        <f>if(iferror(match(A20,'March 29 - M3 1006'!G:G,0),FALSE),"o","")</f>
        <v>o</v>
      </c>
      <c r="K20" s="54" t="str">
        <f>if(iferror(match(A20,'March 29 - M3 1006'!L:L,0),FALSE),"o","")</f>
        <v/>
      </c>
      <c r="L20" s="55" t="str">
        <f>if(iferror(match(A20,'March 30 - M3 1006'!B:B,0),FALSE),"o","")</f>
        <v>o</v>
      </c>
      <c r="M20" s="54" t="str">
        <f>if(iferror(match(A20,'March 30 - M3 1006'!G:G,0),FALSE),"o","")</f>
        <v/>
      </c>
      <c r="N20" s="54" t="str">
        <f>if(iferror(match(A20,'March 30 - M3 1006'!L:L,0),FALSE),"o","")</f>
        <v>o</v>
      </c>
    </row>
    <row r="21" ht="22.5" customHeight="1">
      <c r="A21" s="50" t="s">
        <v>175</v>
      </c>
      <c r="B21" s="56">
        <f t="shared" si="1"/>
        <v>2</v>
      </c>
      <c r="C21" s="52" t="str">
        <f>if(iferror(match(A21,'March 22 - RCH 301'!B:B,0),FALSE),"o","")</f>
        <v/>
      </c>
      <c r="D21" s="53" t="str">
        <f>if(iferror(match(A21,'March 22 - RCH 301'!G:G,0),FALSE),"o","")</f>
        <v/>
      </c>
      <c r="E21" s="54" t="str">
        <f>if(iferror(match(A21,'March 22 - RCH 301'!L:L,0),FALSE),"o","")</f>
        <v/>
      </c>
      <c r="F21" s="55" t="str">
        <f>if(iferror(match(A21,'March 23 - M3 1006'!B:B,0),FALSE),"o","")</f>
        <v/>
      </c>
      <c r="G21" s="54" t="str">
        <f>if(iferror(match(A21,'March 23 - M3 1006'!G:G,0),FALSE),"o","")</f>
        <v/>
      </c>
      <c r="H21" s="54" t="str">
        <f>if(iferror(match(A21,'March 23 - M3 1006'!L:L,0),FALSE),"o","")</f>
        <v/>
      </c>
      <c r="I21" s="55" t="str">
        <f>if(iferror(match(A21,'March 29 - M3 1006'!B:B,0),FALSE),"o","")</f>
        <v>o</v>
      </c>
      <c r="J21" s="54" t="str">
        <f>if(iferror(match(A21,'March 29 - M3 1006'!G:G,0),FALSE),"o","")</f>
        <v/>
      </c>
      <c r="K21" s="54" t="str">
        <f>if(iferror(match(A21,'March 29 - M3 1006'!L:L,0),FALSE),"o","")</f>
        <v>o</v>
      </c>
      <c r="L21" s="55" t="str">
        <f>if(iferror(match(A21,'March 30 - M3 1006'!B:B,0),FALSE),"o","")</f>
        <v/>
      </c>
      <c r="M21" s="54" t="str">
        <f>if(iferror(match(A21,'March 30 - M3 1006'!G:G,0),FALSE),"o","")</f>
        <v/>
      </c>
      <c r="N21" s="54" t="str">
        <f>if(iferror(match(A21,'March 30 - M3 1006'!L:L,0),FALSE),"o","")</f>
        <v/>
      </c>
    </row>
    <row r="22" ht="22.5" customHeight="1">
      <c r="A22" s="50" t="s">
        <v>177</v>
      </c>
      <c r="B22" s="56">
        <f t="shared" si="1"/>
        <v>2</v>
      </c>
      <c r="C22" s="52" t="str">
        <f>if(iferror(match(A22,'March 22 - RCH 301'!B:B,0),FALSE),"o","")</f>
        <v/>
      </c>
      <c r="D22" s="53" t="str">
        <f>if(iferror(match(A22,'March 22 - RCH 301'!G:G,0),FALSE),"o","")</f>
        <v/>
      </c>
      <c r="E22" s="54" t="str">
        <f>if(iferror(match(A22,'March 22 - RCH 301'!L:L,0),FALSE),"o","")</f>
        <v/>
      </c>
      <c r="F22" s="55" t="str">
        <f>if(iferror(match(A22,'March 23 - M3 1006'!B:B,0),FALSE),"o","")</f>
        <v/>
      </c>
      <c r="G22" s="54" t="str">
        <f>if(iferror(match(A22,'March 23 - M3 1006'!G:G,0),FALSE),"o","")</f>
        <v/>
      </c>
      <c r="H22" s="54" t="str">
        <f>if(iferror(match(A22,'March 23 - M3 1006'!L:L,0),FALSE),"o","")</f>
        <v/>
      </c>
      <c r="I22" s="55" t="str">
        <f>if(iferror(match(A22,'March 29 - M3 1006'!B:B,0),FALSE),"o","")</f>
        <v/>
      </c>
      <c r="J22" s="54" t="str">
        <f>if(iferror(match(A22,'March 29 - M3 1006'!G:G,0),FALSE),"o","")</f>
        <v/>
      </c>
      <c r="K22" s="54" t="str">
        <f>if(iferror(match(A22,'March 29 - M3 1006'!L:L,0),FALSE),"o","")</f>
        <v>o</v>
      </c>
      <c r="L22" s="55" t="str">
        <f>if(iferror(match(A22,'March 30 - M3 1006'!B:B,0),FALSE),"o","")</f>
        <v>o</v>
      </c>
      <c r="M22" s="54" t="str">
        <f>if(iferror(match(A22,'March 30 - M3 1006'!G:G,0),FALSE),"o","")</f>
        <v/>
      </c>
      <c r="N22" s="54" t="str">
        <f>if(iferror(match(A22,'March 30 - M3 1006'!L:L,0),FALSE),"o","")</f>
        <v/>
      </c>
    </row>
    <row r="23" ht="22.5" customHeight="1">
      <c r="A23" s="50" t="s">
        <v>176</v>
      </c>
      <c r="B23" s="56">
        <f t="shared" si="1"/>
        <v>2</v>
      </c>
      <c r="C23" s="52" t="str">
        <f>if(iferror(match(A23,'March 22 - RCH 301'!B:B,0),FALSE),"o","")</f>
        <v/>
      </c>
      <c r="D23" s="53" t="str">
        <f>if(iferror(match(A23,'March 22 - RCH 301'!G:G,0),FALSE),"o","")</f>
        <v/>
      </c>
      <c r="E23" s="54" t="str">
        <f>if(iferror(match(A23,'March 22 - RCH 301'!L:L,0),FALSE),"o","")</f>
        <v/>
      </c>
      <c r="F23" s="55" t="str">
        <f>if(iferror(match(A23,'March 23 - M3 1006'!B:B,0),FALSE),"o","")</f>
        <v/>
      </c>
      <c r="G23" s="54" t="str">
        <f>if(iferror(match(A23,'March 23 - M3 1006'!G:G,0),FALSE),"o","")</f>
        <v/>
      </c>
      <c r="H23" s="54" t="str">
        <f>if(iferror(match(A23,'March 23 - M3 1006'!L:L,0),FALSE),"o","")</f>
        <v/>
      </c>
      <c r="I23" s="55" t="str">
        <f>if(iferror(match(A23,'March 29 - M3 1006'!B:B,0),FALSE),"o","")</f>
        <v/>
      </c>
      <c r="J23" s="54" t="str">
        <f>if(iferror(match(A23,'March 29 - M3 1006'!G:G,0),FALSE),"o","")</f>
        <v>o</v>
      </c>
      <c r="K23" s="54" t="str">
        <f>if(iferror(match(A23,'March 29 - M3 1006'!L:L,0),FALSE),"o","")</f>
        <v>o</v>
      </c>
      <c r="L23" s="55" t="str">
        <f>if(iferror(match(A23,'March 30 - M3 1006'!B:B,0),FALSE),"o","")</f>
        <v/>
      </c>
      <c r="M23" s="54" t="str">
        <f>if(iferror(match(A23,'March 30 - M3 1006'!G:G,0),FALSE),"o","")</f>
        <v/>
      </c>
      <c r="N23" s="54" t="str">
        <f>if(iferror(match(A23,'March 30 - M3 1006'!L:L,0),FALSE),"o","")</f>
        <v/>
      </c>
    </row>
    <row r="24" ht="22.5" customHeight="1">
      <c r="A24" s="50" t="s">
        <v>124</v>
      </c>
      <c r="B24" s="56">
        <f t="shared" si="1"/>
        <v>4</v>
      </c>
      <c r="C24" s="52" t="str">
        <f>if(iferror(match(A24,'March 22 - RCH 301'!B:B,0),FALSE),"o","")</f>
        <v/>
      </c>
      <c r="D24" s="53" t="str">
        <f>if(iferror(match(A24,'March 22 - RCH 301'!G:G,0),FALSE),"o","")</f>
        <v/>
      </c>
      <c r="E24" s="54" t="str">
        <f>if(iferror(match(A24,'March 22 - RCH 301'!L:L,0),FALSE),"o","")</f>
        <v/>
      </c>
      <c r="F24" s="55" t="str">
        <f>if(iferror(match(A24,'March 23 - M3 1006'!B:B,0),FALSE),"o","")</f>
        <v>o</v>
      </c>
      <c r="G24" s="54" t="str">
        <f>if(iferror(match(A24,'March 23 - M3 1006'!G:G,0),FALSE),"o","")</f>
        <v>o</v>
      </c>
      <c r="H24" s="54" t="str">
        <f>if(iferror(match(A24,'March 23 - M3 1006'!L:L,0),FALSE),"o","")</f>
        <v/>
      </c>
      <c r="I24" s="55" t="str">
        <f>if(iferror(match(A24,'March 29 - M3 1006'!B:B,0),FALSE),"o","")</f>
        <v/>
      </c>
      <c r="J24" s="54" t="str">
        <f>if(iferror(match(A24,'March 29 - M3 1006'!G:G,0),FALSE),"o","")</f>
        <v/>
      </c>
      <c r="K24" s="54" t="str">
        <f>if(iferror(match(A24,'March 29 - M3 1006'!L:L,0),FALSE),"o","")</f>
        <v/>
      </c>
      <c r="L24" s="55" t="str">
        <f>if(iferror(match(A24,'March 30 - M3 1006'!B:B,0),FALSE),"o","")</f>
        <v>o</v>
      </c>
      <c r="M24" s="54" t="str">
        <f>if(iferror(match(A24,'March 30 - M3 1006'!G:G,0),FALSE),"o","")</f>
        <v>o</v>
      </c>
      <c r="N24" s="54" t="str">
        <f>if(iferror(match(A24,'March 30 - M3 1006'!L:L,0),FALSE),"o","")</f>
        <v/>
      </c>
    </row>
    <row r="25" ht="22.5" customHeight="1">
      <c r="A25" s="50" t="s">
        <v>123</v>
      </c>
      <c r="B25" s="56">
        <f t="shared" si="1"/>
        <v>2</v>
      </c>
      <c r="C25" s="52" t="str">
        <f>if(iferror(match(A25,'March 22 - RCH 301'!B:B,0),FALSE),"o","")</f>
        <v/>
      </c>
      <c r="D25" s="53" t="str">
        <f>if(iferror(match(A25,'March 22 - RCH 301'!G:G,0),FALSE),"o","")</f>
        <v/>
      </c>
      <c r="E25" s="54" t="str">
        <f>if(iferror(match(A25,'March 22 - RCH 301'!L:L,0),FALSE),"o","")</f>
        <v/>
      </c>
      <c r="F25" s="55" t="str">
        <f>if(iferror(match(A25,'March 23 - M3 1006'!B:B,0),FALSE),"o","")</f>
        <v/>
      </c>
      <c r="G25" s="54" t="str">
        <f>if(iferror(match(A25,'March 23 - M3 1006'!G:G,0),FALSE),"o","")</f>
        <v>o</v>
      </c>
      <c r="H25" s="54" t="str">
        <f>if(iferror(match(A25,'March 23 - M3 1006'!L:L,0),FALSE),"o","")</f>
        <v>o</v>
      </c>
      <c r="I25" s="55" t="str">
        <f>if(iferror(match(A25,'March 29 - M3 1006'!B:B,0),FALSE),"o","")</f>
        <v/>
      </c>
      <c r="J25" s="54" t="str">
        <f>if(iferror(match(A25,'March 29 - M3 1006'!G:G,0),FALSE),"o","")</f>
        <v/>
      </c>
      <c r="K25" s="54" t="str">
        <f>if(iferror(match(A25,'March 29 - M3 1006'!L:L,0),FALSE),"o","")</f>
        <v/>
      </c>
      <c r="L25" s="55" t="str">
        <f>if(iferror(match(A25,'March 30 - M3 1006'!B:B,0),FALSE),"o","")</f>
        <v/>
      </c>
      <c r="M25" s="54" t="str">
        <f>if(iferror(match(A25,'March 30 - M3 1006'!G:G,0),FALSE),"o","")</f>
        <v/>
      </c>
      <c r="N25" s="54" t="str">
        <f>if(iferror(match(A25,'March 30 - M3 1006'!L:L,0),FALSE),"o","")</f>
        <v/>
      </c>
    </row>
    <row r="26" ht="22.5" customHeight="1">
      <c r="A26" s="50" t="s">
        <v>183</v>
      </c>
      <c r="B26" s="56">
        <f t="shared" si="1"/>
        <v>2</v>
      </c>
      <c r="C26" s="52" t="str">
        <f>if(iferror(match(A26,'March 22 - RCH 301'!B:B,0),FALSE),"o","")</f>
        <v/>
      </c>
      <c r="D26" s="53" t="str">
        <f>if(iferror(match(A26,'March 22 - RCH 301'!G:G,0),FALSE),"o","")</f>
        <v/>
      </c>
      <c r="E26" s="54" t="str">
        <f>if(iferror(match(A26,'March 22 - RCH 301'!L:L,0),FALSE),"o","")</f>
        <v/>
      </c>
      <c r="F26" s="55" t="str">
        <f>if(iferror(match(A26,'March 23 - M3 1006'!B:B,0),FALSE),"o","")</f>
        <v/>
      </c>
      <c r="G26" s="54" t="str">
        <f>if(iferror(match(A26,'March 23 - M3 1006'!G:G,0),FALSE),"o","")</f>
        <v/>
      </c>
      <c r="H26" s="54" t="str">
        <f>if(iferror(match(A26,'March 23 - M3 1006'!L:L,0),FALSE),"o","")</f>
        <v/>
      </c>
      <c r="I26" s="55" t="str">
        <f>if(iferror(match(A26,'March 29 - M3 1006'!B:B,0),FALSE),"o","")</f>
        <v/>
      </c>
      <c r="J26" s="54" t="str">
        <f>if(iferror(match(A26,'March 29 - M3 1006'!G:G,0),FALSE),"o","")</f>
        <v/>
      </c>
      <c r="K26" s="54" t="str">
        <f>if(iferror(match(A26,'March 29 - M3 1006'!L:L,0),FALSE),"o","")</f>
        <v>o</v>
      </c>
      <c r="L26" s="55" t="str">
        <f>if(iferror(match(A26,'March 30 - M3 1006'!B:B,0),FALSE),"o","")</f>
        <v>o</v>
      </c>
      <c r="M26" s="54" t="str">
        <f>if(iferror(match(A26,'March 30 - M3 1006'!G:G,0),FALSE),"o","")</f>
        <v/>
      </c>
      <c r="N26" s="54" t="str">
        <f>if(iferror(match(A26,'March 30 - M3 1006'!L:L,0),FALSE),"o","")</f>
        <v/>
      </c>
    </row>
    <row r="27" ht="22.5" customHeight="1">
      <c r="A27" s="50" t="s">
        <v>218</v>
      </c>
      <c r="B27" s="56">
        <f t="shared" si="1"/>
        <v>2</v>
      </c>
      <c r="C27" s="52" t="str">
        <f>if(iferror(match(A27,'March 22 - RCH 301'!B:B,0),FALSE),"o","")</f>
        <v/>
      </c>
      <c r="D27" s="53" t="str">
        <f>if(iferror(match(A27,'March 22 - RCH 301'!G:G,0),FALSE),"o","")</f>
        <v/>
      </c>
      <c r="E27" s="54" t="str">
        <f>if(iferror(match(A27,'March 22 - RCH 301'!L:L,0),FALSE),"o","")</f>
        <v/>
      </c>
      <c r="F27" s="55" t="str">
        <f>if(iferror(match(A27,'March 23 - M3 1006'!B:B,0),FALSE),"o","")</f>
        <v/>
      </c>
      <c r="G27" s="54" t="str">
        <f>if(iferror(match(A27,'March 23 - M3 1006'!G:G,0),FALSE),"o","")</f>
        <v/>
      </c>
      <c r="H27" s="54" t="str">
        <f>if(iferror(match(A27,'March 23 - M3 1006'!L:L,0),FALSE),"o","")</f>
        <v/>
      </c>
      <c r="I27" s="55" t="str">
        <f>if(iferror(match(A27,'March 29 - M3 1006'!B:B,0),FALSE),"o","")</f>
        <v/>
      </c>
      <c r="J27" s="54" t="str">
        <f>if(iferror(match(A27,'March 29 - M3 1006'!G:G,0),FALSE),"o","")</f>
        <v/>
      </c>
      <c r="K27" s="54" t="str">
        <f>if(iferror(match(A27,'March 29 - M3 1006'!L:L,0),FALSE),"o","")</f>
        <v/>
      </c>
      <c r="L27" s="55" t="str">
        <f>if(iferror(match(A27,'March 30 - M3 1006'!B:B,0),FALSE),"o","")</f>
        <v/>
      </c>
      <c r="M27" s="54" t="str">
        <f>if(iferror(match(A27,'March 30 - M3 1006'!G:G,0),FALSE),"o","")</f>
        <v>o</v>
      </c>
      <c r="N27" s="54" t="str">
        <f>if(iferror(match(A27,'March 30 - M3 1006'!L:L,0),FALSE),"o","")</f>
        <v>o</v>
      </c>
    </row>
    <row r="28" ht="22.5" customHeight="1">
      <c r="A28" s="50" t="s">
        <v>128</v>
      </c>
      <c r="B28" s="56">
        <f t="shared" si="1"/>
        <v>1</v>
      </c>
      <c r="C28" s="52" t="str">
        <f>if(iferror(match(A28,'March 22 - RCH 301'!B:B,0),FALSE),"o","")</f>
        <v/>
      </c>
      <c r="D28" s="53" t="str">
        <f>if(iferror(match(A28,'March 22 - RCH 301'!G:G,0),FALSE),"o","")</f>
        <v/>
      </c>
      <c r="E28" s="54" t="str">
        <f>if(iferror(match(A28,'March 22 - RCH 301'!L:L,0),FALSE),"o","")</f>
        <v/>
      </c>
      <c r="F28" s="55" t="str">
        <f>if(iferror(match(A28,'March 23 - M3 1006'!B:B,0),FALSE),"o","")</f>
        <v/>
      </c>
      <c r="G28" s="54" t="str">
        <f>if(iferror(match(A28,'March 23 - M3 1006'!G:G,0),FALSE),"o","")</f>
        <v/>
      </c>
      <c r="H28" s="54" t="str">
        <f>if(iferror(match(A28,'March 23 - M3 1006'!L:L,0),FALSE),"o","")</f>
        <v>o</v>
      </c>
      <c r="I28" s="55" t="str">
        <f>if(iferror(match(A28,'March 29 - M3 1006'!B:B,0),FALSE),"o","")</f>
        <v/>
      </c>
      <c r="J28" s="54" t="str">
        <f>if(iferror(match(A28,'March 29 - M3 1006'!G:G,0),FALSE),"o","")</f>
        <v/>
      </c>
      <c r="K28" s="54" t="str">
        <f>if(iferror(match(A28,'March 29 - M3 1006'!L:L,0),FALSE),"o","")</f>
        <v/>
      </c>
      <c r="L28" s="55" t="str">
        <f>if(iferror(match(A28,'March 30 - M3 1006'!B:B,0),FALSE),"o","")</f>
        <v/>
      </c>
      <c r="M28" s="54" t="str">
        <f>if(iferror(match(A28,'March 30 - M3 1006'!G:G,0),FALSE),"o","")</f>
        <v/>
      </c>
      <c r="N28" s="54" t="str">
        <f>if(iferror(match(A28,'March 30 - M3 1006'!L:L,0),FALSE),"o","")</f>
        <v/>
      </c>
    </row>
    <row r="29" ht="22.5" customHeight="1">
      <c r="A29" s="50" t="s">
        <v>219</v>
      </c>
      <c r="B29" s="56">
        <f t="shared" si="1"/>
        <v>2</v>
      </c>
      <c r="C29" s="52" t="str">
        <f>if(iferror(match(A29,'March 22 - RCH 301'!B:B,0),FALSE),"o","")</f>
        <v/>
      </c>
      <c r="D29" s="53" t="str">
        <f>if(iferror(match(A29,'March 22 - RCH 301'!G:G,0),FALSE),"o","")</f>
        <v/>
      </c>
      <c r="E29" s="54" t="str">
        <f>if(iferror(match(A29,'March 22 - RCH 301'!L:L,0),FALSE),"o","")</f>
        <v/>
      </c>
      <c r="F29" s="55" t="str">
        <f>if(iferror(match(A29,'March 23 - M3 1006'!B:B,0),FALSE),"o","")</f>
        <v/>
      </c>
      <c r="G29" s="54" t="str">
        <f>if(iferror(match(A29,'March 23 - M3 1006'!G:G,0),FALSE),"o","")</f>
        <v/>
      </c>
      <c r="H29" s="54" t="str">
        <f>if(iferror(match(A29,'March 23 - M3 1006'!L:L,0),FALSE),"o","")</f>
        <v/>
      </c>
      <c r="I29" s="55" t="str">
        <f>if(iferror(match(A29,'March 29 - M3 1006'!B:B,0),FALSE),"o","")</f>
        <v/>
      </c>
      <c r="J29" s="54" t="str">
        <f>if(iferror(match(A29,'March 29 - M3 1006'!G:G,0),FALSE),"o","")</f>
        <v/>
      </c>
      <c r="K29" s="54" t="str">
        <f>if(iferror(match(A29,'March 29 - M3 1006'!L:L,0),FALSE),"o","")</f>
        <v/>
      </c>
      <c r="L29" s="55" t="str">
        <f>if(iferror(match(A29,'March 30 - M3 1006'!B:B,0),FALSE),"o","")</f>
        <v/>
      </c>
      <c r="M29" s="54" t="str">
        <f>if(iferror(match(A29,'March 30 - M3 1006'!G:G,0),FALSE),"o","")</f>
        <v>o</v>
      </c>
      <c r="N29" s="54" t="str">
        <f>if(iferror(match(A29,'March 30 - M3 1006'!L:L,0),FALSE),"o","")</f>
        <v>o</v>
      </c>
    </row>
    <row r="30" ht="22.5" customHeight="1">
      <c r="A30" s="50" t="s">
        <v>243</v>
      </c>
      <c r="B30" s="56">
        <f t="shared" si="1"/>
        <v>0</v>
      </c>
      <c r="C30" s="52" t="str">
        <f>if(iferror(match(A30,'March 22 - RCH 301'!B:B,0),FALSE),"o","")</f>
        <v/>
      </c>
      <c r="D30" s="53" t="str">
        <f>if(iferror(match(A30,'March 22 - RCH 301'!G:G,0),FALSE),"o","")</f>
        <v/>
      </c>
      <c r="E30" s="54" t="str">
        <f>if(iferror(match(A30,'March 22 - RCH 301'!L:L,0),FALSE),"o","")</f>
        <v/>
      </c>
      <c r="F30" s="55" t="str">
        <f>if(iferror(match(A30,'March 23 - M3 1006'!B:B,0),FALSE),"o","")</f>
        <v/>
      </c>
      <c r="G30" s="54" t="str">
        <f>if(iferror(match(A30,'March 23 - M3 1006'!G:G,0),FALSE),"o","")</f>
        <v/>
      </c>
      <c r="H30" s="54" t="str">
        <f>if(iferror(match(A30,'March 23 - M3 1006'!L:L,0),FALSE),"o","")</f>
        <v/>
      </c>
      <c r="I30" s="55" t="str">
        <f>if(iferror(match(A30,'March 29 - M3 1006'!B:B,0),FALSE),"o","")</f>
        <v/>
      </c>
      <c r="J30" s="54" t="str">
        <f>if(iferror(match(A30,'March 29 - M3 1006'!G:G,0),FALSE),"o","")</f>
        <v/>
      </c>
      <c r="K30" s="54" t="str">
        <f>if(iferror(match(A30,'March 29 - M3 1006'!L:L,0),FALSE),"o","")</f>
        <v/>
      </c>
      <c r="L30" s="55" t="str">
        <f>if(iferror(match(A30,'March 30 - M3 1006'!B:B,0),FALSE),"o","")</f>
        <v/>
      </c>
      <c r="M30" s="54" t="str">
        <f>if(iferror(match(A30,'March 30 - M3 1006'!G:G,0),FALSE),"o","")</f>
        <v/>
      </c>
      <c r="N30" s="54" t="str">
        <f>if(iferror(match(A30,'March 30 - M3 1006'!L:L,0),FALSE),"o","")</f>
        <v/>
      </c>
    </row>
    <row r="31" ht="22.5" customHeight="1">
      <c r="A31" s="50" t="s">
        <v>133</v>
      </c>
      <c r="B31" s="56">
        <f t="shared" si="1"/>
        <v>2</v>
      </c>
      <c r="C31" s="52" t="str">
        <f>if(iferror(match(A31,'March 22 - RCH 301'!B:B,0),FALSE),"o","")</f>
        <v/>
      </c>
      <c r="D31" s="53" t="str">
        <f>if(iferror(match(A31,'March 22 - RCH 301'!G:G,0),FALSE),"o","")</f>
        <v/>
      </c>
      <c r="E31" s="54" t="str">
        <f>if(iferror(match(A31,'March 22 - RCH 301'!L:L,0),FALSE),"o","")</f>
        <v/>
      </c>
      <c r="F31" s="55" t="str">
        <f>if(iferror(match(A31,'March 23 - M3 1006'!B:B,0),FALSE),"o","")</f>
        <v/>
      </c>
      <c r="G31" s="54" t="str">
        <f>if(iferror(match(A31,'March 23 - M3 1006'!G:G,0),FALSE),"o","")</f>
        <v/>
      </c>
      <c r="H31" s="54" t="str">
        <f>if(iferror(match(A31,'March 23 - M3 1006'!L:L,0),FALSE),"o","")</f>
        <v>o</v>
      </c>
      <c r="I31" s="55" t="str">
        <f>if(iferror(match(A31,'March 29 - M3 1006'!B:B,0),FALSE),"o","")</f>
        <v>o</v>
      </c>
      <c r="J31" s="54" t="str">
        <f>if(iferror(match(A31,'March 29 - M3 1006'!G:G,0),FALSE),"o","")</f>
        <v/>
      </c>
      <c r="K31" s="54" t="str">
        <f>if(iferror(match(A31,'March 29 - M3 1006'!L:L,0),FALSE),"o","")</f>
        <v/>
      </c>
      <c r="L31" s="55" t="str">
        <f>if(iferror(match(A31,'March 30 - M3 1006'!B:B,0),FALSE),"o","")</f>
        <v/>
      </c>
      <c r="M31" s="54" t="str">
        <f>if(iferror(match(A31,'March 30 - M3 1006'!G:G,0),FALSE),"o","")</f>
        <v/>
      </c>
      <c r="N31" s="54" t="str">
        <f>if(iferror(match(A31,'March 30 - M3 1006'!L:L,0),FALSE),"o","")</f>
        <v/>
      </c>
    </row>
    <row r="32" ht="22.5" customHeight="1">
      <c r="A32" s="50" t="s">
        <v>187</v>
      </c>
      <c r="B32" s="56">
        <f t="shared" si="1"/>
        <v>2</v>
      </c>
      <c r="C32" s="52" t="str">
        <f>if(iferror(match(A32,'March 22 - RCH 301'!B:B,0),FALSE),"o","")</f>
        <v/>
      </c>
      <c r="D32" s="53" t="str">
        <f>if(iferror(match(A32,'March 22 - RCH 301'!G:G,0),FALSE),"o","")</f>
        <v/>
      </c>
      <c r="E32" s="54" t="str">
        <f>if(iferror(match(A32,'March 22 - RCH 301'!L:L,0),FALSE),"o","")</f>
        <v/>
      </c>
      <c r="F32" s="55" t="str">
        <f>if(iferror(match(A32,'March 23 - M3 1006'!B:B,0),FALSE),"o","")</f>
        <v/>
      </c>
      <c r="G32" s="54" t="str">
        <f>if(iferror(match(A32,'March 23 - M3 1006'!G:G,0),FALSE),"o","")</f>
        <v/>
      </c>
      <c r="H32" s="54" t="str">
        <f>if(iferror(match(A32,'March 23 - M3 1006'!L:L,0),FALSE),"o","")</f>
        <v/>
      </c>
      <c r="I32" s="55" t="str">
        <f>if(iferror(match(A32,'March 29 - M3 1006'!B:B,0),FALSE),"o","")</f>
        <v>o</v>
      </c>
      <c r="J32" s="54" t="str">
        <f>if(iferror(match(A32,'March 29 - M3 1006'!G:G,0),FALSE),"o","")</f>
        <v/>
      </c>
      <c r="K32" s="54" t="str">
        <f>if(iferror(match(A32,'March 29 - M3 1006'!L:L,0),FALSE),"o","")</f>
        <v/>
      </c>
      <c r="L32" s="55" t="str">
        <f>if(iferror(match(A32,'March 30 - M3 1006'!B:B,0),FALSE),"o","")</f>
        <v/>
      </c>
      <c r="M32" s="54" t="str">
        <f>if(iferror(match(A32,'March 30 - M3 1006'!G:G,0),FALSE),"o","")</f>
        <v/>
      </c>
      <c r="N32" s="54" t="str">
        <f>if(iferror(match(A32,'March 30 - M3 1006'!L:L,0),FALSE),"o","")</f>
        <v>o</v>
      </c>
    </row>
    <row r="33" ht="22.5" customHeight="1">
      <c r="A33" s="50" t="s">
        <v>47</v>
      </c>
      <c r="B33" s="56">
        <f t="shared" si="1"/>
        <v>2</v>
      </c>
      <c r="C33" s="52" t="str">
        <f>if(iferror(match(A33,'March 22 - RCH 301'!B:B,0),FALSE),"o","")</f>
        <v>o</v>
      </c>
      <c r="D33" s="53" t="str">
        <f>if(iferror(match(A33,'March 22 - RCH 301'!G:G,0),FALSE),"o","")</f>
        <v>o</v>
      </c>
      <c r="E33" s="54" t="str">
        <f>if(iferror(match(A33,'March 22 - RCH 301'!L:L,0),FALSE),"o","")</f>
        <v/>
      </c>
      <c r="F33" s="55" t="str">
        <f>if(iferror(match(A33,'March 23 - M3 1006'!B:B,0),FALSE),"o","")</f>
        <v/>
      </c>
      <c r="G33" s="54" t="str">
        <f>if(iferror(match(A33,'March 23 - M3 1006'!G:G,0),FALSE),"o","")</f>
        <v/>
      </c>
      <c r="H33" s="54" t="str">
        <f>if(iferror(match(A33,'March 23 - M3 1006'!L:L,0),FALSE),"o","")</f>
        <v/>
      </c>
      <c r="I33" s="55" t="str">
        <f>if(iferror(match(A33,'March 29 - M3 1006'!B:B,0),FALSE),"o","")</f>
        <v/>
      </c>
      <c r="J33" s="54" t="str">
        <f>if(iferror(match(A33,'March 29 - M3 1006'!G:G,0),FALSE),"o","")</f>
        <v/>
      </c>
      <c r="K33" s="54" t="str">
        <f>if(iferror(match(A33,'March 29 - M3 1006'!L:L,0),FALSE),"o","")</f>
        <v/>
      </c>
      <c r="L33" s="55" t="str">
        <f>if(iferror(match(A33,'March 30 - M3 1006'!B:B,0),FALSE),"o","")</f>
        <v/>
      </c>
      <c r="M33" s="54" t="str">
        <f>if(iferror(match(A33,'March 30 - M3 1006'!G:G,0),FALSE),"o","")</f>
        <v/>
      </c>
      <c r="N33" s="54" t="str">
        <f>if(iferror(match(A33,'March 30 - M3 1006'!L:L,0),FALSE),"o","")</f>
        <v/>
      </c>
    </row>
    <row r="34" ht="22.5" customHeight="1">
      <c r="A34" s="50" t="s">
        <v>244</v>
      </c>
      <c r="B34" s="56">
        <f t="shared" si="1"/>
        <v>0</v>
      </c>
      <c r="C34" s="52" t="str">
        <f>if(iferror(match(A34,'March 22 - RCH 301'!B:B,0),FALSE),"o","")</f>
        <v/>
      </c>
      <c r="D34" s="53" t="str">
        <f>if(iferror(match(A34,'March 22 - RCH 301'!G:G,0),FALSE),"o","")</f>
        <v/>
      </c>
      <c r="E34" s="54" t="str">
        <f>if(iferror(match(A34,'March 22 - RCH 301'!L:L,0),FALSE),"o","")</f>
        <v/>
      </c>
      <c r="F34" s="55" t="str">
        <f>if(iferror(match(A34,'March 23 - M3 1006'!B:B,0),FALSE),"o","")</f>
        <v/>
      </c>
      <c r="G34" s="54" t="str">
        <f>if(iferror(match(A34,'March 23 - M3 1006'!G:G,0),FALSE),"o","")</f>
        <v/>
      </c>
      <c r="H34" s="54" t="str">
        <f>if(iferror(match(A34,'March 23 - M3 1006'!L:L,0),FALSE),"o","")</f>
        <v/>
      </c>
      <c r="I34" s="55" t="str">
        <f>if(iferror(match(A34,'March 29 - M3 1006'!B:B,0),FALSE),"o","")</f>
        <v/>
      </c>
      <c r="J34" s="54" t="str">
        <f>if(iferror(match(A34,'March 29 - M3 1006'!G:G,0),FALSE),"o","")</f>
        <v/>
      </c>
      <c r="K34" s="54" t="str">
        <f>if(iferror(match(A34,'March 29 - M3 1006'!L:L,0),FALSE),"o","")</f>
        <v/>
      </c>
      <c r="L34" s="55" t="str">
        <f>if(iferror(match(A34,'March 30 - M3 1006'!B:B,0),FALSE),"o","")</f>
        <v/>
      </c>
      <c r="M34" s="54" t="str">
        <f>if(iferror(match(A34,'March 30 - M3 1006'!G:G,0),FALSE),"o","")</f>
        <v/>
      </c>
      <c r="N34" s="54" t="str">
        <f>if(iferror(match(A34,'March 30 - M3 1006'!L:L,0),FALSE),"o","")</f>
        <v/>
      </c>
    </row>
    <row r="35" ht="22.5" customHeight="1">
      <c r="A35" s="50" t="s">
        <v>245</v>
      </c>
      <c r="B35" s="56">
        <f t="shared" si="1"/>
        <v>0</v>
      </c>
      <c r="C35" s="52" t="str">
        <f>if(iferror(match(A35,'March 22 - RCH 301'!B:B,0),FALSE),"o","")</f>
        <v/>
      </c>
      <c r="D35" s="53" t="str">
        <f>if(iferror(match(A35,'March 22 - RCH 301'!G:G,0),FALSE),"o","")</f>
        <v/>
      </c>
      <c r="E35" s="54" t="str">
        <f>if(iferror(match(A35,'March 22 - RCH 301'!L:L,0),FALSE),"o","")</f>
        <v/>
      </c>
      <c r="F35" s="55" t="str">
        <f>if(iferror(match(A35,'March 23 - M3 1006'!B:B,0),FALSE),"o","")</f>
        <v/>
      </c>
      <c r="G35" s="54" t="str">
        <f>if(iferror(match(A35,'March 23 - M3 1006'!G:G,0),FALSE),"o","")</f>
        <v/>
      </c>
      <c r="H35" s="54" t="str">
        <f>if(iferror(match(A35,'March 23 - M3 1006'!L:L,0),FALSE),"o","")</f>
        <v/>
      </c>
      <c r="I35" s="55" t="str">
        <f>if(iferror(match(A35,'March 29 - M3 1006'!B:B,0),FALSE),"o","")</f>
        <v/>
      </c>
      <c r="J35" s="54" t="str">
        <f>if(iferror(match(A35,'March 29 - M3 1006'!G:G,0),FALSE),"o","")</f>
        <v/>
      </c>
      <c r="K35" s="54" t="str">
        <f>if(iferror(match(A35,'March 29 - M3 1006'!L:L,0),FALSE),"o","")</f>
        <v/>
      </c>
      <c r="L35" s="55" t="str">
        <f>if(iferror(match(A35,'March 30 - M3 1006'!B:B,0),FALSE),"o","")</f>
        <v/>
      </c>
      <c r="M35" s="54" t="str">
        <f>if(iferror(match(A35,'March 30 - M3 1006'!G:G,0),FALSE),"o","")</f>
        <v/>
      </c>
      <c r="N35" s="54" t="str">
        <f>if(iferror(match(A35,'March 30 - M3 1006'!L:L,0),FALSE),"o","")</f>
        <v/>
      </c>
    </row>
    <row r="36" ht="22.5" customHeight="1">
      <c r="A36" s="50" t="s">
        <v>184</v>
      </c>
      <c r="B36" s="56">
        <f t="shared" si="1"/>
        <v>1</v>
      </c>
      <c r="C36" s="52" t="str">
        <f>if(iferror(match(A36,'March 22 - RCH 301'!B:B,0),FALSE),"o","")</f>
        <v/>
      </c>
      <c r="D36" s="53" t="str">
        <f>if(iferror(match(A36,'March 22 - RCH 301'!G:G,0),FALSE),"o","")</f>
        <v/>
      </c>
      <c r="E36" s="54" t="str">
        <f>if(iferror(match(A36,'March 22 - RCH 301'!L:L,0),FALSE),"o","")</f>
        <v/>
      </c>
      <c r="F36" s="55" t="str">
        <f>if(iferror(match(A36,'March 23 - M3 1006'!B:B,0),FALSE),"o","")</f>
        <v/>
      </c>
      <c r="G36" s="54" t="str">
        <f>if(iferror(match(A36,'March 23 - M3 1006'!G:G,0),FALSE),"o","")</f>
        <v/>
      </c>
      <c r="H36" s="54" t="str">
        <f>if(iferror(match(A36,'March 23 - M3 1006'!L:L,0),FALSE),"o","")</f>
        <v/>
      </c>
      <c r="I36" s="55" t="str">
        <f>if(iferror(match(A36,'March 29 - M3 1006'!B:B,0),FALSE),"o","")</f>
        <v/>
      </c>
      <c r="J36" s="54" t="str">
        <f>if(iferror(match(A36,'March 29 - M3 1006'!G:G,0),FALSE),"o","")</f>
        <v>o</v>
      </c>
      <c r="K36" s="54" t="str">
        <f>if(iferror(match(A36,'March 29 - M3 1006'!L:L,0),FALSE),"o","")</f>
        <v/>
      </c>
      <c r="L36" s="55" t="str">
        <f>if(iferror(match(A36,'March 30 - M3 1006'!B:B,0),FALSE),"o","")</f>
        <v/>
      </c>
      <c r="M36" s="54" t="str">
        <f>if(iferror(match(A36,'March 30 - M3 1006'!G:G,0),FALSE),"o","")</f>
        <v/>
      </c>
      <c r="N36" s="54" t="str">
        <f>if(iferror(match(A36,'March 30 - M3 1006'!L:L,0),FALSE),"o","")</f>
        <v/>
      </c>
    </row>
    <row r="37" ht="22.5" customHeight="1">
      <c r="A37" s="50" t="s">
        <v>246</v>
      </c>
      <c r="B37" s="56">
        <f t="shared" si="1"/>
        <v>0</v>
      </c>
      <c r="C37" s="52" t="str">
        <f>if(iferror(match(A37,'March 22 - RCH 301'!B:B,0),FALSE),"o","")</f>
        <v/>
      </c>
      <c r="D37" s="53" t="str">
        <f>if(iferror(match(A37,'March 22 - RCH 301'!G:G,0),FALSE),"o","")</f>
        <v/>
      </c>
      <c r="E37" s="54" t="str">
        <f>if(iferror(match(A37,'March 22 - RCH 301'!L:L,0),FALSE),"o","")</f>
        <v/>
      </c>
      <c r="F37" s="55" t="str">
        <f>if(iferror(match(A37,'March 23 - M3 1006'!B:B,0),FALSE),"o","")</f>
        <v/>
      </c>
      <c r="G37" s="54" t="str">
        <f>if(iferror(match(A37,'March 23 - M3 1006'!G:G,0),FALSE),"o","")</f>
        <v/>
      </c>
      <c r="H37" s="54" t="str">
        <f>if(iferror(match(A37,'March 23 - M3 1006'!L:L,0),FALSE),"o","")</f>
        <v/>
      </c>
      <c r="I37" s="55" t="str">
        <f>if(iferror(match(A37,'March 29 - M3 1006'!B:B,0),FALSE),"o","")</f>
        <v/>
      </c>
      <c r="J37" s="54" t="str">
        <f>if(iferror(match(A37,'March 29 - M3 1006'!G:G,0),FALSE),"o","")</f>
        <v/>
      </c>
      <c r="K37" s="54" t="str">
        <f>if(iferror(match(A37,'March 29 - M3 1006'!L:L,0),FALSE),"o","")</f>
        <v/>
      </c>
      <c r="L37" s="55" t="str">
        <f>if(iferror(match(A37,'March 30 - M3 1006'!B:B,0),FALSE),"o","")</f>
        <v/>
      </c>
      <c r="M37" s="54" t="str">
        <f>if(iferror(match(A37,'March 30 - M3 1006'!G:G,0),FALSE),"o","")</f>
        <v/>
      </c>
      <c r="N37" s="54" t="str">
        <f>if(iferror(match(A37,'March 30 - M3 1006'!L:L,0),FALSE),"o","")</f>
        <v/>
      </c>
    </row>
    <row r="38" ht="22.5" customHeight="1">
      <c r="A38" s="50" t="s">
        <v>50</v>
      </c>
      <c r="B38" s="56">
        <f t="shared" si="1"/>
        <v>1</v>
      </c>
      <c r="C38" s="52" t="str">
        <f>if(iferror(match(A38,'March 22 - RCH 301'!B:B,0),FALSE),"o","")</f>
        <v/>
      </c>
      <c r="D38" s="53" t="str">
        <f>if(iferror(match(A38,'March 22 - RCH 301'!G:G,0),FALSE),"o","")</f>
        <v/>
      </c>
      <c r="E38" s="54" t="str">
        <f>if(iferror(match(A38,'March 22 - RCH 301'!L:L,0),FALSE),"o","")</f>
        <v>o</v>
      </c>
      <c r="F38" s="55" t="str">
        <f>if(iferror(match(A38,'March 23 - M3 1006'!B:B,0),FALSE),"o","")</f>
        <v/>
      </c>
      <c r="G38" s="54" t="str">
        <f>if(iferror(match(A38,'March 23 - M3 1006'!G:G,0),FALSE),"o","")</f>
        <v/>
      </c>
      <c r="H38" s="54" t="str">
        <f>if(iferror(match(A38,'March 23 - M3 1006'!L:L,0),FALSE),"o","")</f>
        <v/>
      </c>
      <c r="I38" s="55" t="str">
        <f>if(iferror(match(A38,'March 29 - M3 1006'!B:B,0),FALSE),"o","")</f>
        <v/>
      </c>
      <c r="J38" s="54" t="str">
        <f>if(iferror(match(A38,'March 29 - M3 1006'!G:G,0),FALSE),"o","")</f>
        <v/>
      </c>
      <c r="K38" s="54" t="str">
        <f>if(iferror(match(A38,'March 29 - M3 1006'!L:L,0),FALSE),"o","")</f>
        <v/>
      </c>
      <c r="L38" s="55" t="str">
        <f>if(iferror(match(A38,'March 30 - M3 1006'!B:B,0),FALSE),"o","")</f>
        <v/>
      </c>
      <c r="M38" s="54" t="str">
        <f>if(iferror(match(A38,'March 30 - M3 1006'!G:G,0),FALSE),"o","")</f>
        <v/>
      </c>
      <c r="N38" s="54" t="str">
        <f>if(iferror(match(A38,'March 30 - M3 1006'!L:L,0),FALSE),"o","")</f>
        <v/>
      </c>
    </row>
    <row r="39" ht="22.5" customHeight="1">
      <c r="A39" s="50" t="s">
        <v>53</v>
      </c>
      <c r="B39" s="56">
        <f t="shared" si="1"/>
        <v>1</v>
      </c>
      <c r="C39" s="52" t="str">
        <f>if(iferror(match(A39,'March 22 - RCH 301'!B:B,0),FALSE),"o","")</f>
        <v/>
      </c>
      <c r="D39" s="53" t="str">
        <f>if(iferror(match(A39,'March 22 - RCH 301'!G:G,0),FALSE),"o","")</f>
        <v/>
      </c>
      <c r="E39" s="54" t="str">
        <f>if(iferror(match(A39,'March 22 - RCH 301'!L:L,0),FALSE),"o","")</f>
        <v>o</v>
      </c>
      <c r="F39" s="55" t="str">
        <f>if(iferror(match(A39,'March 23 - M3 1006'!B:B,0),FALSE),"o","")</f>
        <v/>
      </c>
      <c r="G39" s="54" t="str">
        <f>if(iferror(match(A39,'March 23 - M3 1006'!G:G,0),FALSE),"o","")</f>
        <v/>
      </c>
      <c r="H39" s="54" t="str">
        <f>if(iferror(match(A39,'March 23 - M3 1006'!L:L,0),FALSE),"o","")</f>
        <v/>
      </c>
      <c r="I39" s="55" t="str">
        <f>if(iferror(match(A39,'March 29 - M3 1006'!B:B,0),FALSE),"o","")</f>
        <v/>
      </c>
      <c r="J39" s="54" t="str">
        <f>if(iferror(match(A39,'March 29 - M3 1006'!G:G,0),FALSE),"o","")</f>
        <v/>
      </c>
      <c r="K39" s="54" t="str">
        <f>if(iferror(match(A39,'March 29 - M3 1006'!L:L,0),FALSE),"o","")</f>
        <v/>
      </c>
      <c r="L39" s="55" t="str">
        <f>if(iferror(match(A39,'March 30 - M3 1006'!B:B,0),FALSE),"o","")</f>
        <v/>
      </c>
      <c r="M39" s="54" t="str">
        <f>if(iferror(match(A39,'March 30 - M3 1006'!G:G,0),FALSE),"o","")</f>
        <v/>
      </c>
      <c r="N39" s="54" t="str">
        <f>if(iferror(match(A39,'March 30 - M3 1006'!L:L,0),FALSE),"o","")</f>
        <v/>
      </c>
    </row>
    <row r="40" ht="22.5" customHeight="1">
      <c r="A40" s="50" t="s">
        <v>178</v>
      </c>
      <c r="B40" s="56">
        <f t="shared" si="1"/>
        <v>2</v>
      </c>
      <c r="C40" s="52" t="str">
        <f>if(iferror(match(A40,'March 22 - RCH 301'!B:B,0),FALSE),"o","")</f>
        <v/>
      </c>
      <c r="D40" s="53" t="str">
        <f>if(iferror(match(A40,'March 22 - RCH 301'!G:G,0),FALSE),"o","")</f>
        <v/>
      </c>
      <c r="E40" s="54" t="str">
        <f>if(iferror(match(A40,'March 22 - RCH 301'!L:L,0),FALSE),"o","")</f>
        <v/>
      </c>
      <c r="F40" s="55" t="str">
        <f>if(iferror(match(A40,'March 23 - M3 1006'!B:B,0),FALSE),"o","")</f>
        <v/>
      </c>
      <c r="G40" s="54" t="str">
        <f>if(iferror(match(A40,'March 23 - M3 1006'!G:G,0),FALSE),"o","")</f>
        <v/>
      </c>
      <c r="H40" s="54" t="str">
        <f>if(iferror(match(A40,'March 23 - M3 1006'!L:L,0),FALSE),"o","")</f>
        <v/>
      </c>
      <c r="I40" s="55" t="str">
        <f>if(iferror(match(A40,'March 29 - M3 1006'!B:B,0),FALSE),"o","")</f>
        <v/>
      </c>
      <c r="J40" s="54" t="str">
        <f>if(iferror(match(A40,'March 29 - M3 1006'!G:G,0),FALSE),"o","")</f>
        <v>o</v>
      </c>
      <c r="K40" s="54" t="str">
        <f>if(iferror(match(A40,'March 29 - M3 1006'!L:L,0),FALSE),"o","")</f>
        <v>o</v>
      </c>
      <c r="L40" s="55" t="str">
        <f>if(iferror(match(A40,'March 30 - M3 1006'!B:B,0),FALSE),"o","")</f>
        <v/>
      </c>
      <c r="M40" s="54" t="str">
        <f>if(iferror(match(A40,'March 30 - M3 1006'!G:G,0),FALSE),"o","")</f>
        <v/>
      </c>
      <c r="N40" s="54" t="str">
        <f>if(iferror(match(A40,'March 30 - M3 1006'!L:L,0),FALSE),"o","")</f>
        <v/>
      </c>
    </row>
    <row r="41" ht="22.5" customHeight="1">
      <c r="A41" s="50" t="s">
        <v>181</v>
      </c>
      <c r="B41" s="56">
        <f t="shared" si="1"/>
        <v>2</v>
      </c>
      <c r="C41" s="52" t="str">
        <f>if(iferror(match(A41,'March 22 - RCH 301'!B:B,0),FALSE),"o","")</f>
        <v/>
      </c>
      <c r="D41" s="53" t="str">
        <f>if(iferror(match(A41,'March 22 - RCH 301'!G:G,0),FALSE),"o","")</f>
        <v/>
      </c>
      <c r="E41" s="54" t="str">
        <f>if(iferror(match(A41,'March 22 - RCH 301'!L:L,0),FALSE),"o","")</f>
        <v/>
      </c>
      <c r="F41" s="55" t="str">
        <f>if(iferror(match(A41,'March 23 - M3 1006'!B:B,0),FALSE),"o","")</f>
        <v/>
      </c>
      <c r="G41" s="54" t="str">
        <f>if(iferror(match(A41,'March 23 - M3 1006'!G:G,0),FALSE),"o","")</f>
        <v/>
      </c>
      <c r="H41" s="54" t="str">
        <f>if(iferror(match(A41,'March 23 - M3 1006'!L:L,0),FALSE),"o","")</f>
        <v/>
      </c>
      <c r="I41" s="55" t="str">
        <f>if(iferror(match(A41,'March 29 - M3 1006'!B:B,0),FALSE),"o","")</f>
        <v/>
      </c>
      <c r="J41" s="54" t="str">
        <f>if(iferror(match(A41,'March 29 - M3 1006'!G:G,0),FALSE),"o","")</f>
        <v>o</v>
      </c>
      <c r="K41" s="54" t="str">
        <f>if(iferror(match(A41,'March 29 - M3 1006'!L:L,0),FALSE),"o","")</f>
        <v>o</v>
      </c>
      <c r="L41" s="55" t="str">
        <f>if(iferror(match(A41,'March 30 - M3 1006'!B:B,0),FALSE),"o","")</f>
        <v/>
      </c>
      <c r="M41" s="54" t="str">
        <f>if(iferror(match(A41,'March 30 - M3 1006'!G:G,0),FALSE),"o","")</f>
        <v/>
      </c>
      <c r="N41" s="54" t="str">
        <f>if(iferror(match(A41,'March 30 - M3 1006'!L:L,0),FALSE),"o","")</f>
        <v/>
      </c>
    </row>
    <row r="42" ht="22.5" customHeight="1">
      <c r="A42" s="50" t="s">
        <v>247</v>
      </c>
      <c r="B42" s="56">
        <f t="shared" si="1"/>
        <v>0</v>
      </c>
      <c r="C42" s="52" t="str">
        <f>if(iferror(match(A42,'March 22 - RCH 301'!B:B,0),FALSE),"o","")</f>
        <v/>
      </c>
      <c r="D42" s="53" t="str">
        <f>if(iferror(match(A42,'March 22 - RCH 301'!G:G,0),FALSE),"o","")</f>
        <v/>
      </c>
      <c r="E42" s="54" t="str">
        <f>if(iferror(match(A42,'March 22 - RCH 301'!L:L,0),FALSE),"o","")</f>
        <v/>
      </c>
      <c r="F42" s="55" t="str">
        <f>if(iferror(match(A42,'March 23 - M3 1006'!B:B,0),FALSE),"o","")</f>
        <v/>
      </c>
      <c r="G42" s="54" t="str">
        <f>if(iferror(match(A42,'March 23 - M3 1006'!G:G,0),FALSE),"o","")</f>
        <v/>
      </c>
      <c r="H42" s="54" t="str">
        <f>if(iferror(match(A42,'March 23 - M3 1006'!L:L,0),FALSE),"o","")</f>
        <v/>
      </c>
      <c r="I42" s="55" t="str">
        <f>if(iferror(match(A42,'March 29 - M3 1006'!B:B,0),FALSE),"o","")</f>
        <v/>
      </c>
      <c r="J42" s="54" t="str">
        <f>if(iferror(match(A42,'March 29 - M3 1006'!G:G,0),FALSE),"o","")</f>
        <v/>
      </c>
      <c r="K42" s="54" t="str">
        <f>if(iferror(match(A42,'March 29 - M3 1006'!L:L,0),FALSE),"o","")</f>
        <v/>
      </c>
      <c r="L42" s="55" t="str">
        <f>if(iferror(match(A42,'March 30 - M3 1006'!B:B,0),FALSE),"o","")</f>
        <v/>
      </c>
      <c r="M42" s="54" t="str">
        <f>if(iferror(match(A42,'March 30 - M3 1006'!G:G,0),FALSE),"o","")</f>
        <v/>
      </c>
      <c r="N42" s="54" t="str">
        <f>if(iferror(match(A42,'March 30 - M3 1006'!L:L,0),FALSE),"o","")</f>
        <v/>
      </c>
    </row>
    <row r="43" ht="22.5" customHeight="1">
      <c r="A43" s="50" t="s">
        <v>248</v>
      </c>
      <c r="B43" s="56">
        <f t="shared" si="1"/>
        <v>0</v>
      </c>
      <c r="C43" s="52" t="str">
        <f>if(iferror(match(A43,'March 22 - RCH 301'!B:B,0),FALSE),"o","")</f>
        <v/>
      </c>
      <c r="D43" s="53" t="str">
        <f>if(iferror(match(A43,'March 22 - RCH 301'!G:G,0),FALSE),"o","")</f>
        <v/>
      </c>
      <c r="E43" s="54" t="str">
        <f>if(iferror(match(A43,'March 22 - RCH 301'!L:L,0),FALSE),"o","")</f>
        <v/>
      </c>
      <c r="F43" s="55" t="str">
        <f>if(iferror(match(A43,'March 23 - M3 1006'!B:B,0),FALSE),"o","")</f>
        <v/>
      </c>
      <c r="G43" s="54" t="str">
        <f>if(iferror(match(A43,'March 23 - M3 1006'!G:G,0),FALSE),"o","")</f>
        <v/>
      </c>
      <c r="H43" s="54" t="str">
        <f>if(iferror(match(A43,'March 23 - M3 1006'!L:L,0),FALSE),"o","")</f>
        <v/>
      </c>
      <c r="I43" s="55" t="str">
        <f>if(iferror(match(A43,'March 29 - M3 1006'!B:B,0),FALSE),"o","")</f>
        <v/>
      </c>
      <c r="J43" s="54" t="str">
        <f>if(iferror(match(A43,'March 29 - M3 1006'!G:G,0),FALSE),"o","")</f>
        <v/>
      </c>
      <c r="K43" s="54" t="str">
        <f>if(iferror(match(A43,'March 29 - M3 1006'!L:L,0),FALSE),"o","")</f>
        <v/>
      </c>
      <c r="L43" s="55" t="str">
        <f>if(iferror(match(A43,'March 30 - M3 1006'!B:B,0),FALSE),"o","")</f>
        <v/>
      </c>
      <c r="M43" s="54" t="str">
        <f>if(iferror(match(A43,'March 30 - M3 1006'!G:G,0),FALSE),"o","")</f>
        <v/>
      </c>
      <c r="N43" s="54" t="str">
        <f>if(iferror(match(A43,'March 30 - M3 1006'!L:L,0),FALSE),"o","")</f>
        <v/>
      </c>
    </row>
    <row r="44" ht="22.5" customHeight="1">
      <c r="A44" s="50" t="s">
        <v>249</v>
      </c>
      <c r="B44" s="56">
        <f t="shared" si="1"/>
        <v>0</v>
      </c>
      <c r="C44" s="52" t="str">
        <f>if(iferror(match(A44,'March 22 - RCH 301'!B:B,0),FALSE),"o","")</f>
        <v/>
      </c>
      <c r="D44" s="53" t="str">
        <f>if(iferror(match(A44,'March 22 - RCH 301'!G:G,0),FALSE),"o","")</f>
        <v/>
      </c>
      <c r="E44" s="54" t="str">
        <f>if(iferror(match(A44,'March 22 - RCH 301'!L:L,0),FALSE),"o","")</f>
        <v/>
      </c>
      <c r="F44" s="55" t="str">
        <f>if(iferror(match(A44,'March 23 - M3 1006'!B:B,0),FALSE),"o","")</f>
        <v/>
      </c>
      <c r="G44" s="54" t="str">
        <f>if(iferror(match(A44,'March 23 - M3 1006'!G:G,0),FALSE),"o","")</f>
        <v/>
      </c>
      <c r="H44" s="54" t="str">
        <f>if(iferror(match(A44,'March 23 - M3 1006'!L:L,0),FALSE),"o","")</f>
        <v/>
      </c>
      <c r="I44" s="55" t="str">
        <f>if(iferror(match(A44,'March 29 - M3 1006'!B:B,0),FALSE),"o","")</f>
        <v/>
      </c>
      <c r="J44" s="54" t="str">
        <f>if(iferror(match(A44,'March 29 - M3 1006'!G:G,0),FALSE),"o","")</f>
        <v/>
      </c>
      <c r="K44" s="54" t="str">
        <f>if(iferror(match(A44,'March 29 - M3 1006'!L:L,0),FALSE),"o","")</f>
        <v/>
      </c>
      <c r="L44" s="55" t="str">
        <f>if(iferror(match(A44,'March 30 - M3 1006'!B:B,0),FALSE),"o","")</f>
        <v/>
      </c>
      <c r="M44" s="54" t="str">
        <f>if(iferror(match(A44,'March 30 - M3 1006'!G:G,0),FALSE),"o","")</f>
        <v/>
      </c>
      <c r="N44" s="54" t="str">
        <f>if(iferror(match(A44,'March 30 - M3 1006'!L:L,0),FALSE),"o","")</f>
        <v/>
      </c>
    </row>
    <row r="45" ht="22.5" customHeight="1">
      <c r="A45" s="50" t="s">
        <v>185</v>
      </c>
      <c r="B45" s="56">
        <f t="shared" si="1"/>
        <v>2</v>
      </c>
      <c r="C45" s="52" t="str">
        <f>if(iferror(match(A45,'March 22 - RCH 301'!B:B,0),FALSE),"o","")</f>
        <v/>
      </c>
      <c r="D45" s="53" t="str">
        <f>if(iferror(match(A45,'March 22 - RCH 301'!G:G,0),FALSE),"o","")</f>
        <v/>
      </c>
      <c r="E45" s="54" t="str">
        <f>if(iferror(match(A45,'March 22 - RCH 301'!L:L,0),FALSE),"o","")</f>
        <v/>
      </c>
      <c r="F45" s="55" t="str">
        <f>if(iferror(match(A45,'March 23 - M3 1006'!B:B,0),FALSE),"o","")</f>
        <v/>
      </c>
      <c r="G45" s="54" t="str">
        <f>if(iferror(match(A45,'March 23 - M3 1006'!G:G,0),FALSE),"o","")</f>
        <v/>
      </c>
      <c r="H45" s="54" t="str">
        <f>if(iferror(match(A45,'March 23 - M3 1006'!L:L,0),FALSE),"o","")</f>
        <v/>
      </c>
      <c r="I45" s="55" t="str">
        <f>if(iferror(match(A45,'March 29 - M3 1006'!B:B,0),FALSE),"o","")</f>
        <v/>
      </c>
      <c r="J45" s="54" t="str">
        <f>if(iferror(match(A45,'March 29 - M3 1006'!G:G,0),FALSE),"o","")</f>
        <v>o</v>
      </c>
      <c r="K45" s="54" t="str">
        <f>if(iferror(match(A45,'March 29 - M3 1006'!L:L,0),FALSE),"o","")</f>
        <v>o</v>
      </c>
      <c r="L45" s="55" t="str">
        <f>if(iferror(match(A45,'March 30 - M3 1006'!B:B,0),FALSE),"o","")</f>
        <v/>
      </c>
      <c r="M45" s="54" t="str">
        <f>if(iferror(match(A45,'March 30 - M3 1006'!G:G,0),FALSE),"o","")</f>
        <v/>
      </c>
      <c r="N45" s="54" t="str">
        <f>if(iferror(match(A45,'March 30 - M3 1006'!L:L,0),FALSE),"o","")</f>
        <v/>
      </c>
    </row>
    <row r="46" ht="22.5" customHeight="1">
      <c r="A46" s="50" t="s">
        <v>49</v>
      </c>
      <c r="B46" s="56">
        <f t="shared" si="1"/>
        <v>3</v>
      </c>
      <c r="C46" s="52" t="str">
        <f>if(iferror(match(A46,'March 22 - RCH 301'!B:B,0),FALSE),"o","")</f>
        <v>o</v>
      </c>
      <c r="D46" s="53" t="str">
        <f>if(iferror(match(A46,'March 22 - RCH 301'!G:G,0),FALSE),"o","")</f>
        <v>o</v>
      </c>
      <c r="E46" s="54" t="str">
        <f>if(iferror(match(A46,'March 22 - RCH 301'!L:L,0),FALSE),"o","")</f>
        <v/>
      </c>
      <c r="F46" s="55" t="str">
        <f>if(iferror(match(A46,'March 23 - M3 1006'!B:B,0),FALSE),"o","")</f>
        <v/>
      </c>
      <c r="G46" s="54" t="str">
        <f>if(iferror(match(A46,'March 23 - M3 1006'!G:G,0),FALSE),"o","")</f>
        <v/>
      </c>
      <c r="H46" s="54" t="str">
        <f>if(iferror(match(A46,'March 23 - M3 1006'!L:L,0),FALSE),"o","")</f>
        <v/>
      </c>
      <c r="I46" s="55" t="str">
        <f>if(iferror(match(A46,'March 29 - M3 1006'!B:B,0),FALSE),"o","")</f>
        <v/>
      </c>
      <c r="J46" s="54" t="str">
        <f>if(iferror(match(A46,'March 29 - M3 1006'!G:G,0),FALSE),"o","")</f>
        <v/>
      </c>
      <c r="K46" s="54" t="str">
        <f>if(iferror(match(A46,'March 29 - M3 1006'!L:L,0),FALSE),"o","")</f>
        <v/>
      </c>
      <c r="L46" s="55" t="str">
        <f>if(iferror(match(A46,'March 30 - M3 1006'!B:B,0),FALSE),"o","")</f>
        <v>o</v>
      </c>
      <c r="M46" s="54" t="str">
        <f>if(iferror(match(A46,'March 30 - M3 1006'!G:G,0),FALSE),"o","")</f>
        <v/>
      </c>
      <c r="N46" s="54" t="str">
        <f>if(iferror(match(A46,'March 30 - M3 1006'!L:L,0),FALSE),"o","")</f>
        <v/>
      </c>
    </row>
    <row r="47" ht="22.5" customHeight="1">
      <c r="A47" s="50" t="s">
        <v>186</v>
      </c>
      <c r="B47" s="56">
        <f t="shared" si="1"/>
        <v>2</v>
      </c>
      <c r="C47" s="52" t="str">
        <f>if(iferror(match(A47,'March 22 - RCH 301'!B:B,0),FALSE),"o","")</f>
        <v/>
      </c>
      <c r="D47" s="53" t="str">
        <f>if(iferror(match(A47,'March 22 - RCH 301'!G:G,0),FALSE),"o","")</f>
        <v/>
      </c>
      <c r="E47" s="54" t="str">
        <f>if(iferror(match(A47,'March 22 - RCH 301'!L:L,0),FALSE),"o","")</f>
        <v/>
      </c>
      <c r="F47" s="55" t="str">
        <f>if(iferror(match(A47,'March 23 - M3 1006'!B:B,0),FALSE),"o","")</f>
        <v/>
      </c>
      <c r="G47" s="54" t="str">
        <f>if(iferror(match(A47,'March 23 - M3 1006'!G:G,0),FALSE),"o","")</f>
        <v/>
      </c>
      <c r="H47" s="54" t="str">
        <f>if(iferror(match(A47,'March 23 - M3 1006'!L:L,0),FALSE),"o","")</f>
        <v/>
      </c>
      <c r="I47" s="55" t="str">
        <f>if(iferror(match(A47,'March 29 - M3 1006'!B:B,0),FALSE),"o","")</f>
        <v/>
      </c>
      <c r="J47" s="54" t="str">
        <f>if(iferror(match(A47,'March 29 - M3 1006'!G:G,0),FALSE),"o","")</f>
        <v>o</v>
      </c>
      <c r="K47" s="54" t="str">
        <f>if(iferror(match(A47,'March 29 - M3 1006'!L:L,0),FALSE),"o","")</f>
        <v>o</v>
      </c>
      <c r="L47" s="55" t="str">
        <f>if(iferror(match(A47,'March 30 - M3 1006'!B:B,0),FALSE),"o","")</f>
        <v/>
      </c>
      <c r="M47" s="54" t="str">
        <f>if(iferror(match(A47,'March 30 - M3 1006'!G:G,0),FALSE),"o","")</f>
        <v/>
      </c>
      <c r="N47" s="54" t="str">
        <f>if(iferror(match(A47,'March 30 - M3 1006'!L:L,0),FALSE),"o","")</f>
        <v/>
      </c>
    </row>
    <row r="48" ht="22.5" customHeight="1">
      <c r="A48" s="50" t="s">
        <v>221</v>
      </c>
      <c r="B48" s="56">
        <f t="shared" si="1"/>
        <v>2</v>
      </c>
      <c r="C48" s="52" t="str">
        <f>if(iferror(match(A48,'March 22 - RCH 301'!B:B,0),FALSE),"o","")</f>
        <v/>
      </c>
      <c r="D48" s="53" t="str">
        <f>if(iferror(match(A48,'March 22 - RCH 301'!G:G,0),FALSE),"o","")</f>
        <v/>
      </c>
      <c r="E48" s="54" t="str">
        <f>if(iferror(match(A48,'March 22 - RCH 301'!L:L,0),FALSE),"o","")</f>
        <v/>
      </c>
      <c r="F48" s="55" t="str">
        <f>if(iferror(match(A48,'March 23 - M3 1006'!B:B,0),FALSE),"o","")</f>
        <v/>
      </c>
      <c r="G48" s="54" t="str">
        <f>if(iferror(match(A48,'March 23 - M3 1006'!G:G,0),FALSE),"o","")</f>
        <v/>
      </c>
      <c r="H48" s="54" t="str">
        <f>if(iferror(match(A48,'March 23 - M3 1006'!L:L,0),FALSE),"o","")</f>
        <v/>
      </c>
      <c r="I48" s="55" t="str">
        <f>if(iferror(match(A48,'March 29 - M3 1006'!B:B,0),FALSE),"o","")</f>
        <v/>
      </c>
      <c r="J48" s="54" t="str">
        <f>if(iferror(match(A48,'March 29 - M3 1006'!G:G,0),FALSE),"o","")</f>
        <v/>
      </c>
      <c r="K48" s="54" t="str">
        <f>if(iferror(match(A48,'March 29 - M3 1006'!L:L,0),FALSE),"o","")</f>
        <v/>
      </c>
      <c r="L48" s="55" t="str">
        <f>if(iferror(match(A48,'March 30 - M3 1006'!B:B,0),FALSE),"o","")</f>
        <v>o</v>
      </c>
      <c r="M48" s="54" t="str">
        <f>if(iferror(match(A48,'March 30 - M3 1006'!G:G,0),FALSE),"o","")</f>
        <v>o</v>
      </c>
      <c r="N48" s="54" t="str">
        <f>if(iferror(match(A48,'March 30 - M3 1006'!L:L,0),FALSE),"o","")</f>
        <v/>
      </c>
    </row>
    <row r="49" ht="22.5" customHeight="1">
      <c r="A49" s="50" t="s">
        <v>43</v>
      </c>
      <c r="B49" s="56">
        <f t="shared" si="1"/>
        <v>5</v>
      </c>
      <c r="C49" s="52" t="str">
        <f>if(iferror(match(A49,'March 22 - RCH 301'!B:B,0),FALSE),"o","")</f>
        <v>o</v>
      </c>
      <c r="D49" s="53" t="str">
        <f>if(iferror(match(A49,'March 22 - RCH 301'!G:G,0),FALSE),"o","")</f>
        <v>o</v>
      </c>
      <c r="E49" s="54" t="str">
        <f>if(iferror(match(A49,'March 22 - RCH 301'!L:L,0),FALSE),"o","")</f>
        <v>o</v>
      </c>
      <c r="F49" s="55" t="str">
        <f>if(iferror(match(A49,'March 23 - M3 1006'!B:B,0),FALSE),"o","")</f>
        <v/>
      </c>
      <c r="G49" s="54" t="str">
        <f>if(iferror(match(A49,'March 23 - M3 1006'!G:G,0),FALSE),"o","")</f>
        <v/>
      </c>
      <c r="H49" s="54" t="str">
        <f>if(iferror(match(A49,'March 23 - M3 1006'!L:L,0),FALSE),"o","")</f>
        <v/>
      </c>
      <c r="I49" s="55" t="str">
        <f>if(iferror(match(A49,'March 29 - M3 1006'!B:B,0),FALSE),"o","")</f>
        <v>o</v>
      </c>
      <c r="J49" s="54" t="str">
        <f>if(iferror(match(A49,'March 29 - M3 1006'!G:G,0),FALSE),"o","")</f>
        <v>o</v>
      </c>
      <c r="K49" s="54" t="str">
        <f>if(iferror(match(A49,'March 29 - M3 1006'!L:L,0),FALSE),"o","")</f>
        <v/>
      </c>
      <c r="L49" s="55" t="str">
        <f>if(iferror(match(A49,'March 30 - M3 1006'!B:B,0),FALSE),"o","")</f>
        <v/>
      </c>
      <c r="M49" s="54" t="str">
        <f>if(iferror(match(A49,'March 30 - M3 1006'!G:G,0),FALSE),"o","")</f>
        <v/>
      </c>
      <c r="N49" s="54" t="str">
        <f>if(iferror(match(A49,'March 30 - M3 1006'!L:L,0),FALSE),"o","")</f>
        <v/>
      </c>
    </row>
    <row r="50" ht="22.5" customHeight="1">
      <c r="A50" s="50" t="s">
        <v>45</v>
      </c>
      <c r="B50" s="56">
        <f t="shared" si="1"/>
        <v>3</v>
      </c>
      <c r="C50" s="52" t="str">
        <f>if(iferror(match(A50,'March 22 - RCH 301'!B:B,0),FALSE),"o","")</f>
        <v>o</v>
      </c>
      <c r="D50" s="53" t="str">
        <f>if(iferror(match(A50,'March 22 - RCH 301'!G:G,0),FALSE),"o","")</f>
        <v>o</v>
      </c>
      <c r="E50" s="54" t="str">
        <f>if(iferror(match(A50,'March 22 - RCH 301'!L:L,0),FALSE),"o","")</f>
        <v>o</v>
      </c>
      <c r="F50" s="55" t="str">
        <f>if(iferror(match(A50,'March 23 - M3 1006'!B:B,0),FALSE),"o","")</f>
        <v/>
      </c>
      <c r="G50" s="54" t="str">
        <f>if(iferror(match(A50,'March 23 - M3 1006'!G:G,0),FALSE),"o","")</f>
        <v/>
      </c>
      <c r="H50" s="54" t="str">
        <f>if(iferror(match(A50,'March 23 - M3 1006'!L:L,0),FALSE),"o","")</f>
        <v/>
      </c>
      <c r="I50" s="55" t="str">
        <f>if(iferror(match(A50,'March 29 - M3 1006'!B:B,0),FALSE),"o","")</f>
        <v/>
      </c>
      <c r="J50" s="54" t="str">
        <f>if(iferror(match(A50,'March 29 - M3 1006'!G:G,0),FALSE),"o","")</f>
        <v/>
      </c>
      <c r="K50" s="54" t="str">
        <f>if(iferror(match(A50,'March 29 - M3 1006'!L:L,0),FALSE),"o","")</f>
        <v/>
      </c>
      <c r="L50" s="55" t="str">
        <f>if(iferror(match(A50,'March 30 - M3 1006'!B:B,0),FALSE),"o","")</f>
        <v/>
      </c>
      <c r="M50" s="54" t="str">
        <f>if(iferror(match(A50,'March 30 - M3 1006'!G:G,0),FALSE),"o","")</f>
        <v/>
      </c>
      <c r="N50" s="54" t="str">
        <f>if(iferror(match(A50,'March 30 - M3 1006'!L:L,0),FALSE),"o","")</f>
        <v/>
      </c>
    </row>
    <row r="51" ht="22.5" customHeight="1">
      <c r="A51" s="50" t="s">
        <v>46</v>
      </c>
      <c r="B51" s="56">
        <f t="shared" si="1"/>
        <v>5</v>
      </c>
      <c r="C51" s="52" t="str">
        <f>if(iferror(match(A51,'March 22 - RCH 301'!B:B,0),FALSE),"o","")</f>
        <v>o</v>
      </c>
      <c r="D51" s="53" t="str">
        <f>if(iferror(match(A51,'March 22 - RCH 301'!G:G,0),FALSE),"o","")</f>
        <v>o</v>
      </c>
      <c r="E51" s="54" t="str">
        <f>if(iferror(match(A51,'March 22 - RCH 301'!L:L,0),FALSE),"o","")</f>
        <v>o</v>
      </c>
      <c r="F51" s="55" t="str">
        <f>if(iferror(match(A51,'March 23 - M3 1006'!B:B,0),FALSE),"o","")</f>
        <v/>
      </c>
      <c r="G51" s="54" t="str">
        <f>if(iferror(match(A51,'March 23 - M3 1006'!G:G,0),FALSE),"o","")</f>
        <v/>
      </c>
      <c r="H51" s="54" t="str">
        <f>if(iferror(match(A51,'March 23 - M3 1006'!L:L,0),FALSE),"o","")</f>
        <v/>
      </c>
      <c r="I51" s="55" t="str">
        <f>if(iferror(match(A51,'March 29 - M3 1006'!B:B,0),FALSE),"o","")</f>
        <v/>
      </c>
      <c r="J51" s="54" t="str">
        <f>if(iferror(match(A51,'March 29 - M3 1006'!G:G,0),FALSE),"o","")</f>
        <v/>
      </c>
      <c r="K51" s="54" t="str">
        <f>if(iferror(match(A51,'March 29 - M3 1006'!L:L,0),FALSE),"o","")</f>
        <v/>
      </c>
      <c r="L51" s="55" t="str">
        <f>if(iferror(match(A51,'March 30 - M3 1006'!B:B,0),FALSE),"o","")</f>
        <v>o</v>
      </c>
      <c r="M51" s="54" t="str">
        <f>if(iferror(match(A51,'March 30 - M3 1006'!G:G,0),FALSE),"o","")</f>
        <v>o</v>
      </c>
      <c r="N51" s="54" t="str">
        <f>if(iferror(match(A51,'March 30 - M3 1006'!L:L,0),FALSE),"o","")</f>
        <v/>
      </c>
    </row>
    <row r="52" ht="22.5" customHeight="1">
      <c r="A52" s="50" t="s">
        <v>48</v>
      </c>
      <c r="B52" s="56">
        <f t="shared" si="1"/>
        <v>2</v>
      </c>
      <c r="C52" s="52" t="str">
        <f>if(iferror(match(A52,'March 22 - RCH 301'!B:B,0),FALSE),"o","")</f>
        <v/>
      </c>
      <c r="D52" s="53" t="str">
        <f>if(iferror(match(A52,'March 22 - RCH 301'!G:G,0),FALSE),"o","")</f>
        <v>o</v>
      </c>
      <c r="E52" s="54" t="str">
        <f>if(iferror(match(A52,'March 22 - RCH 301'!L:L,0),FALSE),"o","")</f>
        <v>o</v>
      </c>
      <c r="F52" s="55" t="str">
        <f>if(iferror(match(A52,'March 23 - M3 1006'!B:B,0),FALSE),"o","")</f>
        <v/>
      </c>
      <c r="G52" s="54" t="str">
        <f>if(iferror(match(A52,'March 23 - M3 1006'!G:G,0),FALSE),"o","")</f>
        <v/>
      </c>
      <c r="H52" s="54" t="str">
        <f>if(iferror(match(A52,'March 23 - M3 1006'!L:L,0),FALSE),"o","")</f>
        <v/>
      </c>
      <c r="I52" s="55" t="str">
        <f>if(iferror(match(A52,'March 29 - M3 1006'!B:B,0),FALSE),"o","")</f>
        <v/>
      </c>
      <c r="J52" s="54" t="str">
        <f>if(iferror(match(A52,'March 29 - M3 1006'!G:G,0),FALSE),"o","")</f>
        <v/>
      </c>
      <c r="K52" s="54" t="str">
        <f>if(iferror(match(A52,'March 29 - M3 1006'!L:L,0),FALSE),"o","")</f>
        <v/>
      </c>
      <c r="L52" s="55" t="str">
        <f>if(iferror(match(A52,'March 30 - M3 1006'!B:B,0),FALSE),"o","")</f>
        <v/>
      </c>
      <c r="M52" s="54" t="str">
        <f>if(iferror(match(A52,'March 30 - M3 1006'!G:G,0),FALSE),"o","")</f>
        <v/>
      </c>
      <c r="N52" s="54" t="str">
        <f>if(iferror(match(A52,'March 30 - M3 1006'!L:L,0),FALSE),"o","")</f>
        <v/>
      </c>
    </row>
    <row r="53" ht="22.5" customHeight="1">
      <c r="A53" s="50" t="s">
        <v>52</v>
      </c>
      <c r="B53" s="56">
        <f t="shared" si="1"/>
        <v>1</v>
      </c>
      <c r="C53" s="52" t="str">
        <f>if(iferror(match(A53,'March 22 - RCH 301'!B:B,0),FALSE),"o","")</f>
        <v/>
      </c>
      <c r="D53" s="53" t="str">
        <f>if(iferror(match(A53,'March 22 - RCH 301'!G:G,0),FALSE),"o","")</f>
        <v/>
      </c>
      <c r="E53" s="54" t="str">
        <f>if(iferror(match(A53,'March 22 - RCH 301'!L:L,0),FALSE),"o","")</f>
        <v>o</v>
      </c>
      <c r="F53" s="55" t="str">
        <f>if(iferror(match(A53,'March 23 - M3 1006'!B:B,0),FALSE),"o","")</f>
        <v/>
      </c>
      <c r="G53" s="54" t="str">
        <f>if(iferror(match(A53,'March 23 - M3 1006'!G:G,0),FALSE),"o","")</f>
        <v/>
      </c>
      <c r="H53" s="54" t="str">
        <f>if(iferror(match(A53,'March 23 - M3 1006'!L:L,0),FALSE),"o","")</f>
        <v/>
      </c>
      <c r="I53" s="55" t="str">
        <f>if(iferror(match(A53,'March 29 - M3 1006'!B:B,0),FALSE),"o","")</f>
        <v/>
      </c>
      <c r="J53" s="54" t="str">
        <f>if(iferror(match(A53,'March 29 - M3 1006'!G:G,0),FALSE),"o","")</f>
        <v/>
      </c>
      <c r="K53" s="54" t="str">
        <f>if(iferror(match(A53,'March 29 - M3 1006'!L:L,0),FALSE),"o","")</f>
        <v/>
      </c>
      <c r="L53" s="55" t="str">
        <f>if(iferror(match(A53,'March 30 - M3 1006'!B:B,0),FALSE),"o","")</f>
        <v/>
      </c>
      <c r="M53" s="54" t="str">
        <f>if(iferror(match(A53,'March 30 - M3 1006'!G:G,0),FALSE),"o","")</f>
        <v/>
      </c>
      <c r="N53" s="54" t="str">
        <f>if(iferror(match(A53,'March 30 - M3 1006'!L:L,0),FALSE),"o","")</f>
        <v/>
      </c>
    </row>
    <row r="54" ht="22.5" customHeight="1">
      <c r="A54" s="50" t="s">
        <v>54</v>
      </c>
      <c r="B54" s="56">
        <f t="shared" si="1"/>
        <v>2</v>
      </c>
      <c r="C54" s="52" t="str">
        <f>if(iferror(match(A54,'March 22 - RCH 301'!B:B,0),FALSE),"o","")</f>
        <v>o</v>
      </c>
      <c r="D54" s="53" t="str">
        <f>if(iferror(match(A54,'March 22 - RCH 301'!G:G,0),FALSE),"o","")</f>
        <v/>
      </c>
      <c r="E54" s="54" t="str">
        <f>if(iferror(match(A54,'March 22 - RCH 301'!L:L,0),FALSE),"o","")</f>
        <v/>
      </c>
      <c r="F54" s="55" t="str">
        <f>if(iferror(match(A54,'March 23 - M3 1006'!B:B,0),FALSE),"o","")</f>
        <v/>
      </c>
      <c r="G54" s="54" t="str">
        <f>if(iferror(match(A54,'March 23 - M3 1006'!G:G,0),FALSE),"o","")</f>
        <v/>
      </c>
      <c r="H54" s="54" t="str">
        <f>if(iferror(match(A54,'March 23 - M3 1006'!L:L,0),FALSE),"o","")</f>
        <v/>
      </c>
      <c r="I54" s="55" t="str">
        <f>if(iferror(match(A54,'March 29 - M3 1006'!B:B,0),FALSE),"o","")</f>
        <v>o</v>
      </c>
      <c r="J54" s="54" t="str">
        <f>if(iferror(match(A54,'March 29 - M3 1006'!G:G,0),FALSE),"o","")</f>
        <v/>
      </c>
      <c r="K54" s="54" t="str">
        <f>if(iferror(match(A54,'March 29 - M3 1006'!L:L,0),FALSE),"o","")</f>
        <v/>
      </c>
      <c r="L54" s="55" t="str">
        <f>if(iferror(match(A54,'March 30 - M3 1006'!B:B,0),FALSE),"o","")</f>
        <v/>
      </c>
      <c r="M54" s="54" t="str">
        <f>if(iferror(match(A54,'March 30 - M3 1006'!G:G,0),FALSE),"o","")</f>
        <v/>
      </c>
      <c r="N54" s="54" t="str">
        <f>if(iferror(match(A54,'March 30 - M3 1006'!L:L,0),FALSE),"o","")</f>
        <v/>
      </c>
    </row>
    <row r="55" ht="22.5" customHeight="1">
      <c r="A55" s="50" t="s">
        <v>220</v>
      </c>
      <c r="B55" s="56">
        <f t="shared" si="1"/>
        <v>3</v>
      </c>
      <c r="C55" s="52" t="str">
        <f>if(iferror(match(A55,'March 22 - RCH 301'!B:B,0),FALSE),"o","")</f>
        <v/>
      </c>
      <c r="D55" s="53" t="str">
        <f>if(iferror(match(A55,'March 22 - RCH 301'!G:G,0),FALSE),"o","")</f>
        <v/>
      </c>
      <c r="E55" s="54" t="str">
        <f>if(iferror(match(A55,'March 22 - RCH 301'!L:L,0),FALSE),"o","")</f>
        <v/>
      </c>
      <c r="F55" s="55" t="str">
        <f>if(iferror(match(A55,'March 23 - M3 1006'!B:B,0),FALSE),"o","")</f>
        <v/>
      </c>
      <c r="G55" s="54" t="str">
        <f>if(iferror(match(A55,'March 23 - M3 1006'!G:G,0),FALSE),"o","")</f>
        <v/>
      </c>
      <c r="H55" s="54" t="str">
        <f>if(iferror(match(A55,'March 23 - M3 1006'!L:L,0),FALSE),"o","")</f>
        <v/>
      </c>
      <c r="I55" s="55" t="str">
        <f>if(iferror(match(A55,'March 29 - M3 1006'!B:B,0),FALSE),"o","")</f>
        <v/>
      </c>
      <c r="J55" s="54" t="str">
        <f>if(iferror(match(A55,'March 29 - M3 1006'!G:G,0),FALSE),"o","")</f>
        <v/>
      </c>
      <c r="K55" s="54" t="str">
        <f>if(iferror(match(A55,'March 29 - M3 1006'!L:L,0),FALSE),"o","")</f>
        <v/>
      </c>
      <c r="L55" s="55" t="str">
        <f>if(iferror(match(A55,'March 30 - M3 1006'!B:B,0),FALSE),"o","")</f>
        <v>o</v>
      </c>
      <c r="M55" s="54" t="str">
        <f>if(iferror(match(A55,'March 30 - M3 1006'!G:G,0),FALSE),"o","")</f>
        <v>o</v>
      </c>
      <c r="N55" s="54" t="str">
        <f>if(iferror(match(A55,'March 30 - M3 1006'!L:L,0),FALSE),"o","")</f>
        <v>o</v>
      </c>
    </row>
    <row r="56" ht="22.5" customHeight="1">
      <c r="A56" s="50" t="s">
        <v>179</v>
      </c>
      <c r="B56" s="56">
        <f t="shared" si="1"/>
        <v>2</v>
      </c>
      <c r="C56" s="52" t="str">
        <f>if(iferror(match(A56,'March 22 - RCH 301'!B:B,0),FALSE),"o","")</f>
        <v/>
      </c>
      <c r="D56" s="53" t="str">
        <f>if(iferror(match(A56,'March 22 - RCH 301'!G:G,0),FALSE),"o","")</f>
        <v/>
      </c>
      <c r="E56" s="54" t="str">
        <f>if(iferror(match(A56,'March 22 - RCH 301'!L:L,0),FALSE),"o","")</f>
        <v/>
      </c>
      <c r="F56" s="55" t="str">
        <f>if(iferror(match(A56,'March 23 - M3 1006'!B:B,0),FALSE),"o","")</f>
        <v/>
      </c>
      <c r="G56" s="54" t="str">
        <f>if(iferror(match(A56,'March 23 - M3 1006'!G:G,0),FALSE),"o","")</f>
        <v/>
      </c>
      <c r="H56" s="54" t="str">
        <f>if(iferror(match(A56,'March 23 - M3 1006'!L:L,0),FALSE),"o","")</f>
        <v/>
      </c>
      <c r="I56" s="55" t="str">
        <f>if(iferror(match(A56,'March 29 - M3 1006'!B:B,0),FALSE),"o","")</f>
        <v>o</v>
      </c>
      <c r="J56" s="54" t="str">
        <f>if(iferror(match(A56,'March 29 - M3 1006'!G:G,0),FALSE),"o","")</f>
        <v>o</v>
      </c>
      <c r="K56" s="54" t="str">
        <f>if(iferror(match(A56,'March 29 - M3 1006'!L:L,0),FALSE),"o","")</f>
        <v/>
      </c>
      <c r="L56" s="55" t="str">
        <f>if(iferror(match(A56,'March 30 - M3 1006'!B:B,0),FALSE),"o","")</f>
        <v/>
      </c>
      <c r="M56" s="54" t="str">
        <f>if(iferror(match(A56,'March 30 - M3 1006'!G:G,0),FALSE),"o","")</f>
        <v/>
      </c>
      <c r="N56" s="54" t="str">
        <f>if(iferror(match(A56,'March 30 - M3 1006'!L:L,0),FALSE),"o","")</f>
        <v/>
      </c>
    </row>
    <row r="57" ht="22.5" customHeight="1">
      <c r="A57" s="50" t="s">
        <v>127</v>
      </c>
      <c r="B57" s="56">
        <f t="shared" si="1"/>
        <v>3</v>
      </c>
      <c r="C57" s="52" t="str">
        <f>if(iferror(match(A57,'March 22 - RCH 301'!B:B,0),FALSE),"o","")</f>
        <v/>
      </c>
      <c r="D57" s="53" t="str">
        <f>if(iferror(match(A57,'March 22 - RCH 301'!G:G,0),FALSE),"o","")</f>
        <v/>
      </c>
      <c r="E57" s="54" t="str">
        <f>if(iferror(match(A57,'March 22 - RCH 301'!L:L,0),FALSE),"o","")</f>
        <v/>
      </c>
      <c r="F57" s="55" t="str">
        <f>if(iferror(match(A57,'March 23 - M3 1006'!B:B,0),FALSE),"o","")</f>
        <v>o</v>
      </c>
      <c r="G57" s="54" t="str">
        <f>if(iferror(match(A57,'March 23 - M3 1006'!G:G,0),FALSE),"o","")</f>
        <v>o</v>
      </c>
      <c r="H57" s="54" t="str">
        <f>if(iferror(match(A57,'March 23 - M3 1006'!L:L,0),FALSE),"o","")</f>
        <v>o</v>
      </c>
      <c r="I57" s="55" t="str">
        <f>if(iferror(match(A57,'March 29 - M3 1006'!B:B,0),FALSE),"o","")</f>
        <v/>
      </c>
      <c r="J57" s="54" t="str">
        <f>if(iferror(match(A57,'March 29 - M3 1006'!G:G,0),FALSE),"o","")</f>
        <v/>
      </c>
      <c r="K57" s="54" t="str">
        <f>if(iferror(match(A57,'March 29 - M3 1006'!L:L,0),FALSE),"o","")</f>
        <v/>
      </c>
      <c r="L57" s="55" t="str">
        <f>if(iferror(match(A57,'March 30 - M3 1006'!B:B,0),FALSE),"o","")</f>
        <v/>
      </c>
      <c r="M57" s="54" t="str">
        <f>if(iferror(match(A57,'March 30 - M3 1006'!G:G,0),FALSE),"o","")</f>
        <v/>
      </c>
      <c r="N57" s="54" t="str">
        <f>if(iferror(match(A57,'March 30 - M3 1006'!L:L,0),FALSE),"o","")</f>
        <v/>
      </c>
    </row>
    <row r="58" ht="22.5" customHeight="1">
      <c r="A58" s="50" t="s">
        <v>188</v>
      </c>
      <c r="B58" s="56">
        <f t="shared" si="1"/>
        <v>2</v>
      </c>
      <c r="C58" s="52" t="str">
        <f>if(iferror(match(A58,'March 22 - RCH 301'!B:B,0),FALSE),"o","")</f>
        <v/>
      </c>
      <c r="D58" s="53" t="str">
        <f>if(iferror(match(A58,'March 22 - RCH 301'!G:G,0),FALSE),"o","")</f>
        <v/>
      </c>
      <c r="E58" s="54" t="str">
        <f>if(iferror(match(A58,'March 22 - RCH 301'!L:L,0),FALSE),"o","")</f>
        <v/>
      </c>
      <c r="F58" s="55" t="str">
        <f>if(iferror(match(A58,'March 23 - M3 1006'!B:B,0),FALSE),"o","")</f>
        <v/>
      </c>
      <c r="G58" s="54" t="str">
        <f>if(iferror(match(A58,'March 23 - M3 1006'!G:G,0),FALSE),"o","")</f>
        <v/>
      </c>
      <c r="H58" s="54" t="str">
        <f>if(iferror(match(A58,'March 23 - M3 1006'!L:L,0),FALSE),"o","")</f>
        <v/>
      </c>
      <c r="I58" s="55" t="str">
        <f>if(iferror(match(A58,'March 29 - M3 1006'!B:B,0),FALSE),"o","")</f>
        <v/>
      </c>
      <c r="J58" s="54" t="str">
        <f>if(iferror(match(A58,'March 29 - M3 1006'!G:G,0),FALSE),"o","")</f>
        <v>o</v>
      </c>
      <c r="K58" s="54" t="str">
        <f>if(iferror(match(A58,'March 29 - M3 1006'!L:L,0),FALSE),"o","")</f>
        <v>o</v>
      </c>
      <c r="L58" s="55" t="str">
        <f>if(iferror(match(A58,'March 30 - M3 1006'!B:B,0),FALSE),"o","")</f>
        <v/>
      </c>
      <c r="M58" s="54" t="str">
        <f>if(iferror(match(A58,'March 30 - M3 1006'!G:G,0),FALSE),"o","")</f>
        <v/>
      </c>
      <c r="N58" s="54" t="str">
        <f>if(iferror(match(A58,'March 30 - M3 1006'!L:L,0),FALSE),"o","")</f>
        <v/>
      </c>
    </row>
    <row r="59" ht="22.5" customHeight="1">
      <c r="A59" s="50" t="s">
        <v>51</v>
      </c>
      <c r="B59" s="56">
        <f t="shared" si="1"/>
        <v>12</v>
      </c>
      <c r="C59" s="52" t="str">
        <f>if(iferror(match(A59,'March 22 - RCH 301'!B:B,0),FALSE),"o","")</f>
        <v>o</v>
      </c>
      <c r="D59" s="53" t="str">
        <f>if(iferror(match(A59,'March 22 - RCH 301'!G:G,0),FALSE),"o","")</f>
        <v>o</v>
      </c>
      <c r="E59" s="54" t="str">
        <f>if(iferror(match(A59,'March 22 - RCH 301'!L:L,0),FALSE),"o","")</f>
        <v>o</v>
      </c>
      <c r="F59" s="55" t="str">
        <f>if(iferror(match(A59,'March 23 - M3 1006'!B:B,0),FALSE),"o","")</f>
        <v>o</v>
      </c>
      <c r="G59" s="54" t="str">
        <f>if(iferror(match(A59,'March 23 - M3 1006'!G:G,0),FALSE),"o","")</f>
        <v>o</v>
      </c>
      <c r="H59" s="54" t="str">
        <f>if(iferror(match(A59,'March 23 - M3 1006'!L:L,0),FALSE),"o","")</f>
        <v>o</v>
      </c>
      <c r="I59" s="55" t="str">
        <f>if(iferror(match(A59,'March 29 - M3 1006'!B:B,0),FALSE),"o","")</f>
        <v>o</v>
      </c>
      <c r="J59" s="54" t="str">
        <f>if(iferror(match(A59,'March 29 - M3 1006'!G:G,0),FALSE),"o","")</f>
        <v>o</v>
      </c>
      <c r="K59" s="54" t="str">
        <f>if(iferror(match(A59,'March 29 - M3 1006'!L:L,0),FALSE),"o","")</f>
        <v>o</v>
      </c>
      <c r="L59" s="55" t="str">
        <f>if(iferror(match(A59,'March 30 - M3 1006'!B:B,0),FALSE),"o","")</f>
        <v>o</v>
      </c>
      <c r="M59" s="54" t="str">
        <f>if(iferror(match(A59,'March 30 - M3 1006'!G:G,0),FALSE),"o","")</f>
        <v>o</v>
      </c>
      <c r="N59" s="54" t="str">
        <f>if(iferror(match(A59,'March 30 - M3 1006'!L:L,0),FALSE),"o","")</f>
        <v>o</v>
      </c>
    </row>
    <row r="60" ht="22.5" customHeight="1">
      <c r="A60" s="50" t="s">
        <v>129</v>
      </c>
      <c r="B60" s="56">
        <f t="shared" si="1"/>
        <v>2</v>
      </c>
      <c r="C60" s="52" t="str">
        <f>if(iferror(match(A60,'March 22 - RCH 301'!B:B,0),FALSE),"o","")</f>
        <v/>
      </c>
      <c r="D60" s="53" t="str">
        <f>if(iferror(match(A60,'March 22 - RCH 301'!G:G,0),FALSE),"o","")</f>
        <v/>
      </c>
      <c r="E60" s="54" t="str">
        <f>if(iferror(match(A60,'March 22 - RCH 301'!L:L,0),FALSE),"o","")</f>
        <v/>
      </c>
      <c r="F60" s="55" t="str">
        <f>if(iferror(match(A60,'March 23 - M3 1006'!B:B,0),FALSE),"o","")</f>
        <v/>
      </c>
      <c r="G60" s="54" t="str">
        <f>if(iferror(match(A60,'March 23 - M3 1006'!G:G,0),FALSE),"o","")</f>
        <v/>
      </c>
      <c r="H60" s="54" t="str">
        <f>if(iferror(match(A60,'March 23 - M3 1006'!L:L,0),FALSE),"o","")</f>
        <v>o</v>
      </c>
      <c r="I60" s="55" t="str">
        <f>if(iferror(match(A60,'March 29 - M3 1006'!B:B,0),FALSE),"o","")</f>
        <v>o</v>
      </c>
      <c r="J60" s="54" t="str">
        <f>if(iferror(match(A60,'March 29 - M3 1006'!G:G,0),FALSE),"o","")</f>
        <v/>
      </c>
      <c r="K60" s="54" t="str">
        <f>if(iferror(match(A60,'March 29 - M3 1006'!L:L,0),FALSE),"o","")</f>
        <v/>
      </c>
      <c r="L60" s="55" t="str">
        <f>if(iferror(match(A60,'March 30 - M3 1006'!B:B,0),FALSE),"o","")</f>
        <v/>
      </c>
      <c r="M60" s="54" t="str">
        <f>if(iferror(match(A60,'March 30 - M3 1006'!G:G,0),FALSE),"o","")</f>
        <v/>
      </c>
      <c r="N60" s="54" t="str">
        <f>if(iferror(match(A60,'March 30 - M3 1006'!L:L,0),FALSE),"o","")</f>
        <v/>
      </c>
    </row>
    <row r="61" ht="22.5" customHeight="1">
      <c r="A61" s="50" t="s">
        <v>131</v>
      </c>
      <c r="B61" s="56">
        <f t="shared" si="1"/>
        <v>3</v>
      </c>
      <c r="C61" s="52" t="str">
        <f>if(iferror(match(A61,'March 22 - RCH 301'!B:B,0),FALSE),"o","")</f>
        <v/>
      </c>
      <c r="D61" s="53" t="str">
        <f>if(iferror(match(A61,'March 22 - RCH 301'!G:G,0),FALSE),"o","")</f>
        <v/>
      </c>
      <c r="E61" s="54" t="str">
        <f>if(iferror(match(A61,'March 22 - RCH 301'!L:L,0),FALSE),"o","")</f>
        <v/>
      </c>
      <c r="F61" s="55" t="str">
        <f>if(iferror(match(A61,'March 23 - M3 1006'!B:B,0),FALSE),"o","")</f>
        <v>o</v>
      </c>
      <c r="G61" s="54" t="str">
        <f>if(iferror(match(A61,'March 23 - M3 1006'!G:G,0),FALSE),"o","")</f>
        <v>o</v>
      </c>
      <c r="H61" s="54" t="str">
        <f>if(iferror(match(A61,'March 23 - M3 1006'!L:L,0),FALSE),"o","")</f>
        <v>o</v>
      </c>
      <c r="I61" s="55" t="str">
        <f>if(iferror(match(A61,'March 29 - M3 1006'!B:B,0),FALSE),"o","")</f>
        <v/>
      </c>
      <c r="J61" s="54" t="str">
        <f>if(iferror(match(A61,'March 29 - M3 1006'!G:G,0),FALSE),"o","")</f>
        <v/>
      </c>
      <c r="K61" s="54" t="str">
        <f>if(iferror(match(A61,'March 29 - M3 1006'!L:L,0),FALSE),"o","")</f>
        <v/>
      </c>
      <c r="L61" s="55" t="str">
        <f>if(iferror(match(A61,'March 30 - M3 1006'!B:B,0),FALSE),"o","")</f>
        <v/>
      </c>
      <c r="M61" s="54" t="str">
        <f>if(iferror(match(A61,'March 30 - M3 1006'!G:G,0),FALSE),"o","")</f>
        <v/>
      </c>
      <c r="N61" s="54" t="str">
        <f>if(iferror(match(A61,'March 30 - M3 1006'!L:L,0),FALSE),"o","")</f>
        <v/>
      </c>
    </row>
    <row r="62" ht="22.5" customHeight="1">
      <c r="A62" s="50" t="s">
        <v>119</v>
      </c>
      <c r="B62" s="56">
        <f t="shared" si="1"/>
        <v>4</v>
      </c>
      <c r="C62" s="52" t="str">
        <f>if(iferror(match(A62,'March 22 - RCH 301'!B:B,0),FALSE),"o","")</f>
        <v/>
      </c>
      <c r="D62" s="53" t="str">
        <f>if(iferror(match(A62,'March 22 - RCH 301'!G:G,0),FALSE),"o","")</f>
        <v/>
      </c>
      <c r="E62" s="54" t="str">
        <f>if(iferror(match(A62,'March 22 - RCH 301'!L:L,0),FALSE),"o","")</f>
        <v/>
      </c>
      <c r="F62" s="55" t="str">
        <f>if(iferror(match(A62,'March 23 - M3 1006'!B:B,0),FALSE),"o","")</f>
        <v>o</v>
      </c>
      <c r="G62" s="54" t="str">
        <f>if(iferror(match(A62,'March 23 - M3 1006'!G:G,0),FALSE),"o","")</f>
        <v>o</v>
      </c>
      <c r="H62" s="54" t="str">
        <f>if(iferror(match(A62,'March 23 - M3 1006'!L:L,0),FALSE),"o","")</f>
        <v/>
      </c>
      <c r="I62" s="55" t="str">
        <f>if(iferror(match(A62,'March 29 - M3 1006'!B:B,0),FALSE),"o","")</f>
        <v/>
      </c>
      <c r="J62" s="54" t="str">
        <f>if(iferror(match(A62,'March 29 - M3 1006'!G:G,0),FALSE),"o","")</f>
        <v/>
      </c>
      <c r="K62" s="54" t="str">
        <f>if(iferror(match(A62,'March 29 - M3 1006'!L:L,0),FALSE),"o","")</f>
        <v/>
      </c>
      <c r="L62" s="55" t="str">
        <f>if(iferror(match(A62,'March 30 - M3 1006'!B:B,0),FALSE),"o","")</f>
        <v>o</v>
      </c>
      <c r="M62" s="54" t="str">
        <f>if(iferror(match(A62,'March 30 - M3 1006'!G:G,0),FALSE),"o","")</f>
        <v>o</v>
      </c>
      <c r="N62" s="54" t="str">
        <f>if(iferror(match(A62,'March 30 - M3 1006'!L:L,0),FALSE),"o","")</f>
        <v/>
      </c>
    </row>
    <row r="63" ht="22.5" customHeight="1">
      <c r="A63" s="50" t="s">
        <v>122</v>
      </c>
      <c r="B63" s="56">
        <f t="shared" si="1"/>
        <v>4</v>
      </c>
      <c r="C63" s="52" t="str">
        <f>if(iferror(match(A63,'March 22 - RCH 301'!B:B,0),FALSE),"o","")</f>
        <v/>
      </c>
      <c r="D63" s="53" t="str">
        <f>if(iferror(match(A63,'March 22 - RCH 301'!G:G,0),FALSE),"o","")</f>
        <v/>
      </c>
      <c r="E63" s="54" t="str">
        <f>if(iferror(match(A63,'March 22 - RCH 301'!L:L,0),FALSE),"o","")</f>
        <v/>
      </c>
      <c r="F63" s="55" t="str">
        <f>if(iferror(match(A63,'March 23 - M3 1006'!B:B,0),FALSE),"o","")</f>
        <v/>
      </c>
      <c r="G63" s="54" t="str">
        <f>if(iferror(match(A63,'March 23 - M3 1006'!G:G,0),FALSE),"o","")</f>
        <v>o</v>
      </c>
      <c r="H63" s="54" t="str">
        <f>if(iferror(match(A63,'March 23 - M3 1006'!L:L,0),FALSE),"o","")</f>
        <v>o</v>
      </c>
      <c r="I63" s="55" t="str">
        <f>if(iferror(match(A63,'March 29 - M3 1006'!B:B,0),FALSE),"o","")</f>
        <v/>
      </c>
      <c r="J63" s="54" t="str">
        <f>if(iferror(match(A63,'March 29 - M3 1006'!G:G,0),FALSE),"o","")</f>
        <v/>
      </c>
      <c r="K63" s="54" t="str">
        <f>if(iferror(match(A63,'March 29 - M3 1006'!L:L,0),FALSE),"o","")</f>
        <v/>
      </c>
      <c r="L63" s="55" t="str">
        <f>if(iferror(match(A63,'March 30 - M3 1006'!B:B,0),FALSE),"o","")</f>
        <v/>
      </c>
      <c r="M63" s="54" t="str">
        <f>if(iferror(match(A63,'March 30 - M3 1006'!G:G,0),FALSE),"o","")</f>
        <v>o</v>
      </c>
      <c r="N63" s="54" t="str">
        <f>if(iferror(match(A63,'March 30 - M3 1006'!L:L,0),FALSE),"o","")</f>
        <v>o</v>
      </c>
    </row>
    <row r="64" ht="22.5" customHeight="1">
      <c r="A64" s="50" t="s">
        <v>126</v>
      </c>
      <c r="B64" s="56">
        <f t="shared" si="1"/>
        <v>4</v>
      </c>
      <c r="C64" s="52" t="str">
        <f>if(iferror(match(A64,'March 22 - RCH 301'!B:B,0),FALSE),"o","")</f>
        <v/>
      </c>
      <c r="D64" s="53" t="str">
        <f>if(iferror(match(A64,'March 22 - RCH 301'!G:G,0),FALSE),"o","")</f>
        <v/>
      </c>
      <c r="E64" s="54" t="str">
        <f>if(iferror(match(A64,'March 22 - RCH 301'!L:L,0),FALSE),"o","")</f>
        <v/>
      </c>
      <c r="F64" s="55" t="str">
        <f>if(iferror(match(A64,'March 23 - M3 1006'!B:B,0),FALSE),"o","")</f>
        <v>o</v>
      </c>
      <c r="G64" s="54" t="str">
        <f>if(iferror(match(A64,'March 23 - M3 1006'!G:G,0),FALSE),"o","")</f>
        <v>o</v>
      </c>
      <c r="H64" s="54" t="str">
        <f>if(iferror(match(A64,'March 23 - M3 1006'!L:L,0),FALSE),"o","")</f>
        <v/>
      </c>
      <c r="I64" s="55" t="str">
        <f>if(iferror(match(A64,'March 29 - M3 1006'!B:B,0),FALSE),"o","")</f>
        <v/>
      </c>
      <c r="J64" s="54" t="str">
        <f>if(iferror(match(A64,'March 29 - M3 1006'!G:G,0),FALSE),"o","")</f>
        <v/>
      </c>
      <c r="K64" s="54" t="str">
        <f>if(iferror(match(A64,'March 29 - M3 1006'!L:L,0),FALSE),"o","")</f>
        <v/>
      </c>
      <c r="L64" s="55" t="str">
        <f>if(iferror(match(A64,'March 30 - M3 1006'!B:B,0),FALSE),"o","")</f>
        <v>o</v>
      </c>
      <c r="M64" s="54" t="str">
        <f>if(iferror(match(A64,'March 30 - M3 1006'!G:G,0),FALSE),"o","")</f>
        <v>o</v>
      </c>
      <c r="N64" s="54" t="str">
        <f>if(iferror(match(A64,'March 30 - M3 1006'!L:L,0),FALSE),"o","")</f>
        <v/>
      </c>
    </row>
    <row r="65" ht="22.5" customHeight="1">
      <c r="A65" s="50" t="s">
        <v>130</v>
      </c>
      <c r="B65" s="56">
        <f t="shared" si="1"/>
        <v>2</v>
      </c>
      <c r="C65" s="52" t="str">
        <f>if(iferror(match(A65,'March 22 - RCH 301'!B:B,0),FALSE),"o","")</f>
        <v/>
      </c>
      <c r="D65" s="53" t="str">
        <f>if(iferror(match(A65,'March 22 - RCH 301'!G:G,0),FALSE),"o","")</f>
        <v/>
      </c>
      <c r="E65" s="54" t="str">
        <f>if(iferror(match(A65,'March 22 - RCH 301'!L:L,0),FALSE),"o","")</f>
        <v/>
      </c>
      <c r="F65" s="55" t="str">
        <f>if(iferror(match(A65,'March 23 - M3 1006'!B:B,0),FALSE),"o","")</f>
        <v>o</v>
      </c>
      <c r="G65" s="54" t="str">
        <f>if(iferror(match(A65,'March 23 - M3 1006'!G:G,0),FALSE),"o","")</f>
        <v>o</v>
      </c>
      <c r="H65" s="54" t="str">
        <f>if(iferror(match(A65,'March 23 - M3 1006'!L:L,0),FALSE),"o","")</f>
        <v/>
      </c>
      <c r="I65" s="55" t="str">
        <f>if(iferror(match(A65,'March 29 - M3 1006'!B:B,0),FALSE),"o","")</f>
        <v/>
      </c>
      <c r="J65" s="54" t="str">
        <f>if(iferror(match(A65,'March 29 - M3 1006'!G:G,0),FALSE),"o","")</f>
        <v/>
      </c>
      <c r="K65" s="54" t="str">
        <f>if(iferror(match(A65,'March 29 - M3 1006'!L:L,0),FALSE),"o","")</f>
        <v/>
      </c>
      <c r="L65" s="55" t="str">
        <f>if(iferror(match(A65,'March 30 - M3 1006'!B:B,0),FALSE),"o","")</f>
        <v/>
      </c>
      <c r="M65" s="54" t="str">
        <f>if(iferror(match(A65,'March 30 - M3 1006'!G:G,0),FALSE),"o","")</f>
        <v/>
      </c>
      <c r="N65" s="54" t="str">
        <f>if(iferror(match(A65,'March 30 - M3 1006'!L:L,0),FALSE),"o","")</f>
        <v/>
      </c>
    </row>
    <row r="66" ht="22.5" customHeight="1">
      <c r="A66" s="50" t="s">
        <v>222</v>
      </c>
      <c r="B66" s="56">
        <f t="shared" si="1"/>
        <v>2</v>
      </c>
      <c r="C66" s="52" t="str">
        <f>if(iferror(match(A66,'March 22 - RCH 301'!B:B,0),FALSE),"o","")</f>
        <v/>
      </c>
      <c r="D66" s="53" t="str">
        <f>if(iferror(match(A66,'March 22 - RCH 301'!G:G,0),FALSE),"o","")</f>
        <v/>
      </c>
      <c r="E66" s="54" t="str">
        <f>if(iferror(match(A66,'March 22 - RCH 301'!L:L,0),FALSE),"o","")</f>
        <v/>
      </c>
      <c r="F66" s="55" t="str">
        <f>if(iferror(match(A66,'March 23 - M3 1006'!B:B,0),FALSE),"o","")</f>
        <v/>
      </c>
      <c r="G66" s="54" t="str">
        <f>if(iferror(match(A66,'March 23 - M3 1006'!G:G,0),FALSE),"o","")</f>
        <v/>
      </c>
      <c r="H66" s="54" t="str">
        <f>if(iferror(match(A66,'March 23 - M3 1006'!L:L,0),FALSE),"o","")</f>
        <v/>
      </c>
      <c r="I66" s="55" t="str">
        <f>if(iferror(match(A66,'March 29 - M3 1006'!B:B,0),FALSE),"o","")</f>
        <v/>
      </c>
      <c r="J66" s="54" t="str">
        <f>if(iferror(match(A66,'March 29 - M3 1006'!G:G,0),FALSE),"o","")</f>
        <v/>
      </c>
      <c r="K66" s="54" t="str">
        <f>if(iferror(match(A66,'March 29 - M3 1006'!L:L,0),FALSE),"o","")</f>
        <v/>
      </c>
      <c r="L66" s="55" t="str">
        <f>if(iferror(match(A66,'March 30 - M3 1006'!B:B,0),FALSE),"o","")</f>
        <v/>
      </c>
      <c r="M66" s="54" t="str">
        <f>if(iferror(match(A66,'March 30 - M3 1006'!G:G,0),FALSE),"o","")</f>
        <v>o</v>
      </c>
      <c r="N66" s="54" t="str">
        <f>if(iferror(match(A66,'March 30 - M3 1006'!L:L,0),FALSE),"o","")</f>
        <v>o</v>
      </c>
    </row>
    <row r="67" ht="22.5" customHeight="1">
      <c r="A67" s="50" t="s">
        <v>40</v>
      </c>
      <c r="B67" s="56">
        <f t="shared" si="1"/>
        <v>4</v>
      </c>
      <c r="C67" s="52" t="str">
        <f>if(iferror(match(A67,'March 22 - RCH 301'!B:B,0),FALSE),"o","")</f>
        <v/>
      </c>
      <c r="D67" s="53" t="str">
        <f>if(iferror(match(A67,'March 22 - RCH 301'!G:G,0),FALSE),"o","")</f>
        <v>o</v>
      </c>
      <c r="E67" s="54" t="str">
        <f>if(iferror(match(A67,'March 22 - RCH 301'!L:L,0),FALSE),"o","")</f>
        <v>o</v>
      </c>
      <c r="F67" s="55" t="str">
        <f>if(iferror(match(A67,'March 23 - M3 1006'!B:B,0),FALSE),"o","")</f>
        <v/>
      </c>
      <c r="G67" s="54" t="str">
        <f>if(iferror(match(A67,'March 23 - M3 1006'!G:G,0),FALSE),"o","")</f>
        <v/>
      </c>
      <c r="H67" s="54" t="str">
        <f>if(iferror(match(A67,'March 23 - M3 1006'!L:L,0),FALSE),"o","")</f>
        <v/>
      </c>
      <c r="I67" s="55" t="str">
        <f>if(iferror(match(A67,'March 29 - M3 1006'!B:B,0),FALSE),"o","")</f>
        <v/>
      </c>
      <c r="J67" s="54" t="str">
        <f>if(iferror(match(A67,'March 29 - M3 1006'!G:G,0),FALSE),"o","")</f>
        <v>o</v>
      </c>
      <c r="K67" s="54" t="str">
        <f>if(iferror(match(A67,'March 29 - M3 1006'!L:L,0),FALSE),"o","")</f>
        <v>o</v>
      </c>
      <c r="L67" s="55" t="str">
        <f>if(iferror(match(A67,'March 30 - M3 1006'!B:B,0),FALSE),"o","")</f>
        <v/>
      </c>
      <c r="M67" s="54" t="str">
        <f>if(iferror(match(A67,'March 30 - M3 1006'!G:G,0),FALSE),"o","")</f>
        <v/>
      </c>
      <c r="N67" s="54" t="str">
        <f>if(iferror(match(A67,'March 30 - M3 1006'!L:L,0),FALSE),"o","")</f>
        <v/>
      </c>
    </row>
    <row r="68" ht="22.5" customHeight="1">
      <c r="A68" s="50" t="s">
        <v>132</v>
      </c>
      <c r="B68" s="56">
        <f t="shared" si="1"/>
        <v>4</v>
      </c>
      <c r="C68" s="52" t="str">
        <f>if(iferror(match(A68,'March 22 - RCH 301'!B:B,0),FALSE),"o","")</f>
        <v/>
      </c>
      <c r="D68" s="53" t="str">
        <f>if(iferror(match(A68,'March 22 - RCH 301'!G:G,0),FALSE),"o","")</f>
        <v/>
      </c>
      <c r="E68" s="54" t="str">
        <f>if(iferror(match(A68,'March 22 - RCH 301'!L:L,0),FALSE),"o","")</f>
        <v/>
      </c>
      <c r="F68" s="55" t="str">
        <f>if(iferror(match(A68,'March 23 - M3 1006'!B:B,0),FALSE),"o","")</f>
        <v>o</v>
      </c>
      <c r="G68" s="54" t="str">
        <f>if(iferror(match(A68,'March 23 - M3 1006'!G:G,0),FALSE),"o","")</f>
        <v>o</v>
      </c>
      <c r="H68" s="54" t="str">
        <f>if(iferror(match(A68,'March 23 - M3 1006'!L:L,0),FALSE),"o","")</f>
        <v/>
      </c>
      <c r="I68" s="55" t="str">
        <f>if(iferror(match(A68,'March 29 - M3 1006'!B:B,0),FALSE),"o","")</f>
        <v/>
      </c>
      <c r="J68" s="54" t="str">
        <f>if(iferror(match(A68,'March 29 - M3 1006'!G:G,0),FALSE),"o","")</f>
        <v/>
      </c>
      <c r="K68" s="54" t="str">
        <f>if(iferror(match(A68,'March 29 - M3 1006'!L:L,0),FALSE),"o","")</f>
        <v/>
      </c>
      <c r="L68" s="55" t="str">
        <f>if(iferror(match(A68,'March 30 - M3 1006'!B:B,0),FALSE),"o","")</f>
        <v>o</v>
      </c>
      <c r="M68" s="54" t="str">
        <f>if(iferror(match(A68,'March 30 - M3 1006'!G:G,0),FALSE),"o","")</f>
        <v>o</v>
      </c>
      <c r="N68" s="54" t="str">
        <f>if(iferror(match(A68,'March 30 - M3 1006'!L:L,0),FALSE),"o","")</f>
        <v/>
      </c>
    </row>
    <row r="69" ht="22.5" customHeight="1">
      <c r="A69" s="50" t="s">
        <v>223</v>
      </c>
      <c r="B69" s="56">
        <f t="shared" si="1"/>
        <v>2</v>
      </c>
      <c r="C69" s="52" t="str">
        <f>if(iferror(match(A69,'March 22 - RCH 301'!B:B,0),FALSE),"o","")</f>
        <v/>
      </c>
      <c r="D69" s="53" t="str">
        <f>if(iferror(match(A69,'March 22 - RCH 301'!G:G,0),FALSE),"o","")</f>
        <v/>
      </c>
      <c r="E69" s="54" t="str">
        <f>if(iferror(match(A69,'March 22 - RCH 301'!L:L,0),FALSE),"o","")</f>
        <v/>
      </c>
      <c r="F69" s="55" t="str">
        <f>if(iferror(match(A69,'March 23 - M3 1006'!B:B,0),FALSE),"o","")</f>
        <v/>
      </c>
      <c r="G69" s="54" t="str">
        <f>if(iferror(match(A69,'March 23 - M3 1006'!G:G,0),FALSE),"o","")</f>
        <v/>
      </c>
      <c r="H69" s="54" t="str">
        <f>if(iferror(match(A69,'March 23 - M3 1006'!L:L,0),FALSE),"o","")</f>
        <v/>
      </c>
      <c r="I69" s="55" t="str">
        <f>if(iferror(match(A69,'March 29 - M3 1006'!B:B,0),FALSE),"o","")</f>
        <v/>
      </c>
      <c r="J69" s="54" t="str">
        <f>if(iferror(match(A69,'March 29 - M3 1006'!G:G,0),FALSE),"o","")</f>
        <v/>
      </c>
      <c r="K69" s="54" t="str">
        <f>if(iferror(match(A69,'March 29 - M3 1006'!L:L,0),FALSE),"o","")</f>
        <v/>
      </c>
      <c r="L69" s="55" t="str">
        <f>if(iferror(match(A69,'March 30 - M3 1006'!B:B,0),FALSE),"o","")</f>
        <v>o</v>
      </c>
      <c r="M69" s="54" t="str">
        <f>if(iferror(match(A69,'March 30 - M3 1006'!G:G,0),FALSE),"o","")</f>
        <v>o</v>
      </c>
      <c r="N69" s="54" t="str">
        <f>if(iferror(match(A69,'March 30 - M3 1006'!L:L,0),FALSE),"o","")</f>
        <v/>
      </c>
    </row>
    <row r="70" ht="22.5" customHeight="1">
      <c r="A70" s="50" t="s">
        <v>55</v>
      </c>
      <c r="B70" s="56">
        <f t="shared" si="1"/>
        <v>2</v>
      </c>
      <c r="C70" s="52" t="str">
        <f>if(iferror(match(A70,'March 22 - RCH 301'!B:B,0),FALSE),"o","")</f>
        <v>o</v>
      </c>
      <c r="D70" s="53" t="str">
        <f>if(iferror(match(A70,'March 22 - RCH 301'!G:G,0),FALSE),"o","")</f>
        <v>o</v>
      </c>
      <c r="E70" s="54" t="str">
        <f>if(iferror(match(A70,'March 22 - RCH 301'!L:L,0),FALSE),"o","")</f>
        <v/>
      </c>
      <c r="F70" s="55" t="str">
        <f>if(iferror(match(A70,'March 23 - M3 1006'!B:B,0),FALSE),"o","")</f>
        <v/>
      </c>
      <c r="G70" s="54" t="str">
        <f>if(iferror(match(A70,'March 23 - M3 1006'!G:G,0),FALSE),"o","")</f>
        <v/>
      </c>
      <c r="H70" s="54" t="str">
        <f>if(iferror(match(A70,'March 23 - M3 1006'!L:L,0),FALSE),"o","")</f>
        <v/>
      </c>
      <c r="I70" s="55" t="str">
        <f>if(iferror(match(A70,'March 29 - M3 1006'!B:B,0),FALSE),"o","")</f>
        <v/>
      </c>
      <c r="J70" s="54" t="str">
        <f>if(iferror(match(A70,'March 29 - M3 1006'!G:G,0),FALSE),"o","")</f>
        <v/>
      </c>
      <c r="K70" s="54" t="str">
        <f>if(iferror(match(A70,'March 29 - M3 1006'!L:L,0),FALSE),"o","")</f>
        <v/>
      </c>
      <c r="L70" s="55" t="str">
        <f>if(iferror(match(A70,'March 30 - M3 1006'!B:B,0),FALSE),"o","")</f>
        <v/>
      </c>
      <c r="M70" s="54" t="str">
        <f>if(iferror(match(A70,'March 30 - M3 1006'!G:G,0),FALSE),"o","")</f>
        <v/>
      </c>
      <c r="N70" s="54" t="str">
        <f>if(iferror(match(A70,'March 30 - M3 1006'!L:L,0),FALSE),"o","")</f>
        <v/>
      </c>
    </row>
    <row r="71" ht="22.5" customHeight="1">
      <c r="A71" s="50" t="s">
        <v>60</v>
      </c>
      <c r="B71" s="56">
        <f t="shared" si="1"/>
        <v>3</v>
      </c>
      <c r="C71" s="52" t="str">
        <f>if(iferror(match(A71,'March 22 - RCH 301'!B:B,0),FALSE),"o","")</f>
        <v/>
      </c>
      <c r="D71" s="53" t="str">
        <f>if(iferror(match(A71,'March 22 - RCH 301'!G:G,0),FALSE),"o","")</f>
        <v/>
      </c>
      <c r="E71" s="54" t="str">
        <f>if(iferror(match(A71,'March 22 - RCH 301'!L:L,0),FALSE),"o","")</f>
        <v>o</v>
      </c>
      <c r="F71" s="55" t="str">
        <f>if(iferror(match(A71,'March 23 - M3 1006'!B:B,0),FALSE),"o","")</f>
        <v/>
      </c>
      <c r="G71" s="54" t="str">
        <f>if(iferror(match(A71,'March 23 - M3 1006'!G:G,0),FALSE),"o","")</f>
        <v/>
      </c>
      <c r="H71" s="54" t="str">
        <f>if(iferror(match(A71,'March 23 - M3 1006'!L:L,0),FALSE),"o","")</f>
        <v/>
      </c>
      <c r="I71" s="55" t="str">
        <f>if(iferror(match(A71,'March 29 - M3 1006'!B:B,0),FALSE),"o","")</f>
        <v/>
      </c>
      <c r="J71" s="54" t="str">
        <f>if(iferror(match(A71,'March 29 - M3 1006'!G:G,0),FALSE),"o","")</f>
        <v/>
      </c>
      <c r="K71" s="54" t="str">
        <f>if(iferror(match(A71,'March 29 - M3 1006'!L:L,0),FALSE),"o","")</f>
        <v>o</v>
      </c>
      <c r="L71" s="55" t="str">
        <f>if(iferror(match(A71,'March 30 - M3 1006'!B:B,0),FALSE),"o","")</f>
        <v/>
      </c>
      <c r="M71" s="54" t="str">
        <f>if(iferror(match(A71,'March 30 - M3 1006'!G:G,0),FALSE),"o","")</f>
        <v>o</v>
      </c>
      <c r="N71" s="54" t="str">
        <f>if(iferror(match(A71,'March 30 - M3 1006'!L:L,0),FALSE),"o","")</f>
        <v/>
      </c>
    </row>
    <row r="72" ht="22.5" customHeight="1">
      <c r="A72" s="50" t="s">
        <v>91</v>
      </c>
      <c r="B72" s="56">
        <f t="shared" si="1"/>
        <v>8</v>
      </c>
      <c r="C72" s="52" t="str">
        <f>if(iferror(match(A72,'March 22 - RCH 301'!B:B,0),FALSE),"o","")</f>
        <v>o</v>
      </c>
      <c r="D72" s="53" t="str">
        <f>if(iferror(match(A72,'March 22 - RCH 301'!G:G,0),FALSE),"o","")</f>
        <v>o</v>
      </c>
      <c r="E72" s="54" t="str">
        <f>if(iferror(match(A72,'March 22 - RCH 301'!L:L,0),FALSE),"o","")</f>
        <v>o</v>
      </c>
      <c r="F72" s="55" t="str">
        <f>if(iferror(match(A72,'March 23 - M3 1006'!B:B,0),FALSE),"o","")</f>
        <v>o</v>
      </c>
      <c r="G72" s="54" t="str">
        <f>if(iferror(match(A72,'March 23 - M3 1006'!G:G,0),FALSE),"o","")</f>
        <v>o</v>
      </c>
      <c r="H72" s="54" t="str">
        <f>if(iferror(match(A72,'March 23 - M3 1006'!L:L,0),FALSE),"o","")</f>
        <v>o</v>
      </c>
      <c r="I72" s="55" t="str">
        <f>if(iferror(match(A72,'March 29 - M3 1006'!B:B,0),FALSE),"o","")</f>
        <v>o</v>
      </c>
      <c r="J72" s="54" t="str">
        <f>if(iferror(match(A72,'March 29 - M3 1006'!G:G,0),FALSE),"o","")</f>
        <v/>
      </c>
      <c r="K72" s="54" t="str">
        <f>if(iferror(match(A72,'March 29 - M3 1006'!L:L,0),FALSE),"o","")</f>
        <v/>
      </c>
      <c r="L72" s="55" t="str">
        <f>if(iferror(match(A72,'March 30 - M3 1006'!B:B,0),FALSE),"o","")</f>
        <v>o</v>
      </c>
      <c r="M72" s="54" t="str">
        <f>if(iferror(match(A72,'March 30 - M3 1006'!G:G,0),FALSE),"o","")</f>
        <v/>
      </c>
      <c r="N72" s="54" t="str">
        <f>if(iferror(match(A72,'March 30 - M3 1006'!L:L,0),FALSE),"o","")</f>
        <v/>
      </c>
    </row>
    <row r="73" ht="22.5" customHeight="1">
      <c r="A73" s="50" t="s">
        <v>191</v>
      </c>
      <c r="B73" s="56">
        <f t="shared" si="1"/>
        <v>3</v>
      </c>
      <c r="C73" s="52" t="str">
        <f>if(iferror(match(A73,'March 22 - RCH 301'!B:B,0),FALSE),"o","")</f>
        <v/>
      </c>
      <c r="D73" s="53" t="str">
        <f>if(iferror(match(A73,'March 22 - RCH 301'!G:G,0),FALSE),"o","")</f>
        <v/>
      </c>
      <c r="E73" s="54" t="str">
        <f>if(iferror(match(A73,'March 22 - RCH 301'!L:L,0),FALSE),"o","")</f>
        <v/>
      </c>
      <c r="F73" s="55" t="str">
        <f>if(iferror(match(A73,'March 23 - M3 1006'!B:B,0),FALSE),"o","")</f>
        <v/>
      </c>
      <c r="G73" s="54" t="str">
        <f>if(iferror(match(A73,'March 23 - M3 1006'!G:G,0),FALSE),"o","")</f>
        <v/>
      </c>
      <c r="H73" s="54" t="str">
        <f>if(iferror(match(A73,'March 23 - M3 1006'!L:L,0),FALSE),"o","")</f>
        <v/>
      </c>
      <c r="I73" s="55" t="str">
        <f>if(iferror(match(A73,'March 29 - M3 1006'!B:B,0),FALSE),"o","")</f>
        <v>o</v>
      </c>
      <c r="J73" s="54" t="str">
        <f>if(iferror(match(A73,'March 29 - M3 1006'!G:G,0),FALSE),"o","")</f>
        <v>o</v>
      </c>
      <c r="K73" s="54" t="str">
        <f>if(iferror(match(A73,'March 29 - M3 1006'!L:L,0),FALSE),"o","")</f>
        <v/>
      </c>
      <c r="L73" s="55" t="str">
        <f>if(iferror(match(A73,'March 30 - M3 1006'!B:B,0),FALSE),"o","")</f>
        <v/>
      </c>
      <c r="M73" s="54" t="str">
        <f>if(iferror(match(A73,'March 30 - M3 1006'!G:G,0),FALSE),"o","")</f>
        <v>o</v>
      </c>
      <c r="N73" s="54" t="str">
        <f>if(iferror(match(A73,'March 30 - M3 1006'!L:L,0),FALSE),"o","")</f>
        <v/>
      </c>
    </row>
    <row r="74" ht="22.5" customHeight="1">
      <c r="A74" s="50" t="s">
        <v>250</v>
      </c>
      <c r="B74" s="56">
        <f t="shared" si="1"/>
        <v>0</v>
      </c>
      <c r="C74" s="52" t="str">
        <f>if(iferror(match(A74,'March 22 - RCH 301'!B:B,0),FALSE),"o","")</f>
        <v/>
      </c>
      <c r="D74" s="53" t="str">
        <f>if(iferror(match(A74,'March 22 - RCH 301'!G:G,0),FALSE),"o","")</f>
        <v/>
      </c>
      <c r="E74" s="54" t="str">
        <f>if(iferror(match(A74,'March 22 - RCH 301'!L:L,0),FALSE),"o","")</f>
        <v/>
      </c>
      <c r="F74" s="55" t="str">
        <f>if(iferror(match(A74,'March 23 - M3 1006'!B:B,0),FALSE),"o","")</f>
        <v/>
      </c>
      <c r="G74" s="54" t="str">
        <f>if(iferror(match(A74,'March 23 - M3 1006'!G:G,0),FALSE),"o","")</f>
        <v/>
      </c>
      <c r="H74" s="54" t="str">
        <f>if(iferror(match(A74,'March 23 - M3 1006'!L:L,0),FALSE),"o","")</f>
        <v/>
      </c>
      <c r="I74" s="55" t="str">
        <f>if(iferror(match(A74,'March 29 - M3 1006'!B:B,0),FALSE),"o","")</f>
        <v/>
      </c>
      <c r="J74" s="54" t="str">
        <f>if(iferror(match(A74,'March 29 - M3 1006'!G:G,0),FALSE),"o","")</f>
        <v/>
      </c>
      <c r="K74" s="54" t="str">
        <f>if(iferror(match(A74,'March 29 - M3 1006'!L:L,0),FALSE),"o","")</f>
        <v/>
      </c>
      <c r="L74" s="55" t="str">
        <f>if(iferror(match(A74,'March 30 - M3 1006'!B:B,0),FALSE),"o","")</f>
        <v/>
      </c>
      <c r="M74" s="54" t="str">
        <f>if(iferror(match(A74,'March 30 - M3 1006'!G:G,0),FALSE),"o","")</f>
        <v/>
      </c>
      <c r="N74" s="54" t="str">
        <f>if(iferror(match(A74,'March 30 - M3 1006'!L:L,0),FALSE),"o","")</f>
        <v/>
      </c>
    </row>
    <row r="75" ht="22.5" customHeight="1">
      <c r="A75" s="50" t="s">
        <v>64</v>
      </c>
      <c r="B75" s="56">
        <f t="shared" si="1"/>
        <v>5</v>
      </c>
      <c r="C75" s="52" t="str">
        <f>if(iferror(match(A75,'March 22 - RCH 301'!B:B,0),FALSE),"o","")</f>
        <v/>
      </c>
      <c r="D75" s="53" t="str">
        <f>if(iferror(match(A75,'March 22 - RCH 301'!G:G,0),FALSE),"o","")</f>
        <v/>
      </c>
      <c r="E75" s="54" t="str">
        <f>if(iferror(match(A75,'March 22 - RCH 301'!L:L,0),FALSE),"o","")</f>
        <v>o</v>
      </c>
      <c r="F75" s="55" t="str">
        <f>if(iferror(match(A75,'March 23 - M3 1006'!B:B,0),FALSE),"o","")</f>
        <v/>
      </c>
      <c r="G75" s="54" t="str">
        <f>if(iferror(match(A75,'March 23 - M3 1006'!G:G,0),FALSE),"o","")</f>
        <v/>
      </c>
      <c r="H75" s="54" t="str">
        <f>if(iferror(match(A75,'March 23 - M3 1006'!L:L,0),FALSE),"o","")</f>
        <v/>
      </c>
      <c r="I75" s="55" t="str">
        <f>if(iferror(match(A75,'March 29 - M3 1006'!B:B,0),FALSE),"o","")</f>
        <v>o</v>
      </c>
      <c r="J75" s="54" t="str">
        <f>if(iferror(match(A75,'March 29 - M3 1006'!G:G,0),FALSE),"o","")</f>
        <v>o</v>
      </c>
      <c r="K75" s="54" t="str">
        <f>if(iferror(match(A75,'March 29 - M3 1006'!L:L,0),FALSE),"o","")</f>
        <v/>
      </c>
      <c r="L75" s="55" t="str">
        <f>if(iferror(match(A75,'March 30 - M3 1006'!B:B,0),FALSE),"o","")</f>
        <v>o</v>
      </c>
      <c r="M75" s="54" t="str">
        <f>if(iferror(match(A75,'March 30 - M3 1006'!G:G,0),FALSE),"o","")</f>
        <v>o</v>
      </c>
      <c r="N75" s="54" t="str">
        <f>if(iferror(match(A75,'March 30 - M3 1006'!L:L,0),FALSE),"o","")</f>
        <v/>
      </c>
    </row>
    <row r="76" ht="22.5" customHeight="1">
      <c r="A76" s="50" t="s">
        <v>61</v>
      </c>
      <c r="B76" s="56">
        <f t="shared" si="1"/>
        <v>8</v>
      </c>
      <c r="C76" s="52" t="str">
        <f>if(iferror(match(A76,'March 22 - RCH 301'!B:B,0),FALSE),"o","")</f>
        <v>o</v>
      </c>
      <c r="D76" s="53" t="str">
        <f>if(iferror(match(A76,'March 22 - RCH 301'!G:G,0),FALSE),"o","")</f>
        <v>o</v>
      </c>
      <c r="E76" s="54" t="str">
        <f>if(iferror(match(A76,'March 22 - RCH 301'!L:L,0),FALSE),"o","")</f>
        <v>o</v>
      </c>
      <c r="F76" s="55" t="str">
        <f>if(iferror(match(A76,'March 23 - M3 1006'!B:B,0),FALSE),"o","")</f>
        <v>o</v>
      </c>
      <c r="G76" s="54" t="str">
        <f>if(iferror(match(A76,'March 23 - M3 1006'!G:G,0),FALSE),"o","")</f>
        <v>o</v>
      </c>
      <c r="H76" s="54" t="str">
        <f>if(iferror(match(A76,'March 23 - M3 1006'!L:L,0),FALSE),"o","")</f>
        <v/>
      </c>
      <c r="I76" s="55" t="str">
        <f>if(iferror(match(A76,'March 29 - M3 1006'!B:B,0),FALSE),"o","")</f>
        <v>o</v>
      </c>
      <c r="J76" s="54" t="str">
        <f>if(iferror(match(A76,'March 29 - M3 1006'!G:G,0),FALSE),"o","")</f>
        <v>o</v>
      </c>
      <c r="K76" s="54" t="str">
        <f>if(iferror(match(A76,'March 29 - M3 1006'!L:L,0),FALSE),"o","")</f>
        <v/>
      </c>
      <c r="L76" s="55" t="str">
        <f>if(iferror(match(A76,'March 30 - M3 1006'!B:B,0),FALSE),"o","")</f>
        <v>o</v>
      </c>
      <c r="M76" s="54" t="str">
        <f>if(iferror(match(A76,'March 30 - M3 1006'!G:G,0),FALSE),"o","")</f>
        <v/>
      </c>
      <c r="N76" s="54" t="str">
        <f>if(iferror(match(A76,'March 30 - M3 1006'!L:L,0),FALSE),"o","")</f>
        <v/>
      </c>
    </row>
    <row r="77" ht="22.5" customHeight="1">
      <c r="A77" s="50" t="s">
        <v>192</v>
      </c>
      <c r="B77" s="56">
        <f t="shared" si="1"/>
        <v>4</v>
      </c>
      <c r="C77" s="52" t="str">
        <f>if(iferror(match(A77,'March 22 - RCH 301'!B:B,0),FALSE),"o","")</f>
        <v/>
      </c>
      <c r="D77" s="53" t="str">
        <f>if(iferror(match(A77,'March 22 - RCH 301'!G:G,0),FALSE),"o","")</f>
        <v/>
      </c>
      <c r="E77" s="54" t="str">
        <f>if(iferror(match(A77,'March 22 - RCH 301'!L:L,0),FALSE),"o","")</f>
        <v/>
      </c>
      <c r="F77" s="55" t="str">
        <f>if(iferror(match(A77,'March 23 - M3 1006'!B:B,0),FALSE),"o","")</f>
        <v/>
      </c>
      <c r="G77" s="54" t="str">
        <f>if(iferror(match(A77,'March 23 - M3 1006'!G:G,0),FALSE),"o","")</f>
        <v/>
      </c>
      <c r="H77" s="54" t="str">
        <f>if(iferror(match(A77,'March 23 - M3 1006'!L:L,0),FALSE),"o","")</f>
        <v/>
      </c>
      <c r="I77" s="55" t="str">
        <f>if(iferror(match(A77,'March 29 - M3 1006'!B:B,0),FALSE),"o","")</f>
        <v>o</v>
      </c>
      <c r="J77" s="54" t="str">
        <f>if(iferror(match(A77,'March 29 - M3 1006'!G:G,0),FALSE),"o","")</f>
        <v>o</v>
      </c>
      <c r="K77" s="54" t="str">
        <f>if(iferror(match(A77,'March 29 - M3 1006'!L:L,0),FALSE),"o","")</f>
        <v/>
      </c>
      <c r="L77" s="55" t="str">
        <f>if(iferror(match(A77,'March 30 - M3 1006'!B:B,0),FALSE),"o","")</f>
        <v>o</v>
      </c>
      <c r="M77" s="54" t="str">
        <f>if(iferror(match(A77,'March 30 - M3 1006'!G:G,0),FALSE),"o","")</f>
        <v>o</v>
      </c>
      <c r="N77" s="54" t="str">
        <f>if(iferror(match(A77,'March 30 - M3 1006'!L:L,0),FALSE),"o","")</f>
        <v/>
      </c>
    </row>
    <row r="78" ht="22.5" customHeight="1">
      <c r="A78" s="50" t="s">
        <v>137</v>
      </c>
      <c r="B78" s="56">
        <f t="shared" si="1"/>
        <v>5</v>
      </c>
      <c r="C78" s="52" t="str">
        <f>if(iferror(match(A78,'March 22 - RCH 301'!B:B,0),FALSE),"o","")</f>
        <v/>
      </c>
      <c r="D78" s="53" t="str">
        <f>if(iferror(match(A78,'March 22 - RCH 301'!G:G,0),FALSE),"o","")</f>
        <v/>
      </c>
      <c r="E78" s="54" t="str">
        <f>if(iferror(match(A78,'March 22 - RCH 301'!L:L,0),FALSE),"o","")</f>
        <v/>
      </c>
      <c r="F78" s="55" t="str">
        <f>if(iferror(match(A78,'March 23 - M3 1006'!B:B,0),FALSE),"o","")</f>
        <v/>
      </c>
      <c r="G78" s="54" t="str">
        <f>if(iferror(match(A78,'March 23 - M3 1006'!G:G,0),FALSE),"o","")</f>
        <v>o</v>
      </c>
      <c r="H78" s="54" t="str">
        <f>if(iferror(match(A78,'March 23 - M3 1006'!L:L,0),FALSE),"o","")</f>
        <v>o</v>
      </c>
      <c r="I78" s="55" t="str">
        <f>if(iferror(match(A78,'March 29 - M3 1006'!B:B,0),FALSE),"o","")</f>
        <v/>
      </c>
      <c r="J78" s="54" t="str">
        <f>if(iferror(match(A78,'March 29 - M3 1006'!G:G,0),FALSE),"o","")</f>
        <v/>
      </c>
      <c r="K78" s="54" t="str">
        <f>if(iferror(match(A78,'March 29 - M3 1006'!L:L,0),FALSE),"o","")</f>
        <v/>
      </c>
      <c r="L78" s="55" t="str">
        <f>if(iferror(match(A78,'March 30 - M3 1006'!B:B,0),FALSE),"o","")</f>
        <v>o</v>
      </c>
      <c r="M78" s="54" t="str">
        <f>if(iferror(match(A78,'March 30 - M3 1006'!G:G,0),FALSE),"o","")</f>
        <v>o</v>
      </c>
      <c r="N78" s="54" t="str">
        <f>if(iferror(match(A78,'March 30 - M3 1006'!L:L,0),FALSE),"o","")</f>
        <v>o</v>
      </c>
    </row>
    <row r="79" ht="22.5" customHeight="1">
      <c r="A79" s="50" t="s">
        <v>139</v>
      </c>
      <c r="B79" s="56">
        <f t="shared" si="1"/>
        <v>3</v>
      </c>
      <c r="C79" s="52" t="str">
        <f>if(iferror(match(A79,'March 22 - RCH 301'!B:B,0),FALSE),"o","")</f>
        <v/>
      </c>
      <c r="D79" s="53" t="str">
        <f>if(iferror(match(A79,'March 22 - RCH 301'!G:G,0),FALSE),"o","")</f>
        <v/>
      </c>
      <c r="E79" s="54" t="str">
        <f>if(iferror(match(A79,'March 22 - RCH 301'!L:L,0),FALSE),"o","")</f>
        <v/>
      </c>
      <c r="F79" s="55" t="str">
        <f>if(iferror(match(A79,'March 23 - M3 1006'!B:B,0),FALSE),"o","")</f>
        <v/>
      </c>
      <c r="G79" s="54" t="str">
        <f>if(iferror(match(A79,'March 23 - M3 1006'!G:G,0),FALSE),"o","")</f>
        <v>o</v>
      </c>
      <c r="H79" s="54" t="str">
        <f>if(iferror(match(A79,'March 23 - M3 1006'!L:L,0),FALSE),"o","")</f>
        <v>o</v>
      </c>
      <c r="I79" s="55" t="str">
        <f>if(iferror(match(A79,'March 29 - M3 1006'!B:B,0),FALSE),"o","")</f>
        <v/>
      </c>
      <c r="J79" s="54" t="str">
        <f>if(iferror(match(A79,'March 29 - M3 1006'!G:G,0),FALSE),"o","")</f>
        <v>o</v>
      </c>
      <c r="K79" s="54" t="str">
        <f>if(iferror(match(A79,'March 29 - M3 1006'!L:L,0),FALSE),"o","")</f>
        <v/>
      </c>
      <c r="L79" s="55" t="str">
        <f>if(iferror(match(A79,'March 30 - M3 1006'!B:B,0),FALSE),"o","")</f>
        <v/>
      </c>
      <c r="M79" s="54" t="str">
        <f>if(iferror(match(A79,'March 30 - M3 1006'!G:G,0),FALSE),"o","")</f>
        <v/>
      </c>
      <c r="N79" s="54" t="str">
        <f>if(iferror(match(A79,'March 30 - M3 1006'!L:L,0),FALSE),"o","")</f>
        <v/>
      </c>
    </row>
    <row r="80" ht="22.5" customHeight="1">
      <c r="A80" s="50" t="s">
        <v>194</v>
      </c>
      <c r="B80" s="56">
        <f t="shared" si="1"/>
        <v>3</v>
      </c>
      <c r="C80" s="52" t="str">
        <f>if(iferror(match(A80,'March 22 - RCH 301'!B:B,0),FALSE),"o","")</f>
        <v/>
      </c>
      <c r="D80" s="53" t="str">
        <f>if(iferror(match(A80,'March 22 - RCH 301'!G:G,0),FALSE),"o","")</f>
        <v/>
      </c>
      <c r="E80" s="54" t="str">
        <f>if(iferror(match(A80,'March 22 - RCH 301'!L:L,0),FALSE),"o","")</f>
        <v/>
      </c>
      <c r="F80" s="55" t="str">
        <f>if(iferror(match(A80,'March 23 - M3 1006'!B:B,0),FALSE),"o","")</f>
        <v/>
      </c>
      <c r="G80" s="54" t="str">
        <f>if(iferror(match(A80,'March 23 - M3 1006'!G:G,0),FALSE),"o","")</f>
        <v/>
      </c>
      <c r="H80" s="54" t="str">
        <f>if(iferror(match(A80,'March 23 - M3 1006'!L:L,0),FALSE),"o","")</f>
        <v/>
      </c>
      <c r="I80" s="55" t="str">
        <f>if(iferror(match(A80,'March 29 - M3 1006'!B:B,0),FALSE),"o","")</f>
        <v>o</v>
      </c>
      <c r="J80" s="54" t="str">
        <f>if(iferror(match(A80,'March 29 - M3 1006'!G:G,0),FALSE),"o","")</f>
        <v>o</v>
      </c>
      <c r="K80" s="54" t="str">
        <f>if(iferror(match(A80,'March 29 - M3 1006'!L:L,0),FALSE),"o","")</f>
        <v>o</v>
      </c>
      <c r="L80" s="55" t="str">
        <f>if(iferror(match(A80,'March 30 - M3 1006'!B:B,0),FALSE),"o","")</f>
        <v/>
      </c>
      <c r="M80" s="54" t="str">
        <f>if(iferror(match(A80,'March 30 - M3 1006'!G:G,0),FALSE),"o","")</f>
        <v/>
      </c>
      <c r="N80" s="54" t="str">
        <f>if(iferror(match(A80,'March 30 - M3 1006'!L:L,0),FALSE),"o","")</f>
        <v/>
      </c>
    </row>
    <row r="81" ht="22.5" customHeight="1">
      <c r="A81" s="50" t="s">
        <v>68</v>
      </c>
      <c r="B81" s="56">
        <f t="shared" si="1"/>
        <v>4</v>
      </c>
      <c r="C81" s="52" t="str">
        <f>if(iferror(match(A81,'March 22 - RCH 301'!B:B,0),FALSE),"o","")</f>
        <v/>
      </c>
      <c r="D81" s="53" t="str">
        <f>if(iferror(match(A81,'March 22 - RCH 301'!G:G,0),FALSE),"o","")</f>
        <v>o</v>
      </c>
      <c r="E81" s="54" t="str">
        <f>if(iferror(match(A81,'March 22 - RCH 301'!L:L,0),FALSE),"o","")</f>
        <v/>
      </c>
      <c r="F81" s="55" t="str">
        <f>if(iferror(match(A81,'March 23 - M3 1006'!B:B,0),FALSE),"o","")</f>
        <v/>
      </c>
      <c r="G81" s="54" t="str">
        <f>if(iferror(match(A81,'March 23 - M3 1006'!G:G,0),FALSE),"o","")</f>
        <v>o</v>
      </c>
      <c r="H81" s="54" t="str">
        <f>if(iferror(match(A81,'March 23 - M3 1006'!L:L,0),FALSE),"o","")</f>
        <v/>
      </c>
      <c r="I81" s="55" t="str">
        <f>if(iferror(match(A81,'March 29 - M3 1006'!B:B,0),FALSE),"o","")</f>
        <v/>
      </c>
      <c r="J81" s="54" t="str">
        <f>if(iferror(match(A81,'March 29 - M3 1006'!G:G,0),FALSE),"o","")</f>
        <v>o</v>
      </c>
      <c r="K81" s="54" t="str">
        <f>if(iferror(match(A81,'March 29 - M3 1006'!L:L,0),FALSE),"o","")</f>
        <v/>
      </c>
      <c r="L81" s="55" t="str">
        <f>if(iferror(match(A81,'March 30 - M3 1006'!B:B,0),FALSE),"o","")</f>
        <v/>
      </c>
      <c r="M81" s="54" t="str">
        <f>if(iferror(match(A81,'March 30 - M3 1006'!G:G,0),FALSE),"o","")</f>
        <v>o</v>
      </c>
      <c r="N81" s="54" t="str">
        <f>if(iferror(match(A81,'March 30 - M3 1006'!L:L,0),FALSE),"o","")</f>
        <v/>
      </c>
    </row>
    <row r="82" ht="22.5" customHeight="1">
      <c r="A82" s="50" t="s">
        <v>140</v>
      </c>
      <c r="B82" s="56">
        <f t="shared" si="1"/>
        <v>3</v>
      </c>
      <c r="C82" s="52" t="str">
        <f>if(iferror(match(A82,'March 22 - RCH 301'!B:B,0),FALSE),"o","")</f>
        <v/>
      </c>
      <c r="D82" s="53" t="str">
        <f>if(iferror(match(A82,'March 22 - RCH 301'!G:G,0),FALSE),"o","")</f>
        <v/>
      </c>
      <c r="E82" s="54" t="str">
        <f>if(iferror(match(A82,'March 22 - RCH 301'!L:L,0),FALSE),"o","")</f>
        <v/>
      </c>
      <c r="F82" s="55" t="str">
        <f>if(iferror(match(A82,'March 23 - M3 1006'!B:B,0),FALSE),"o","")</f>
        <v>o</v>
      </c>
      <c r="G82" s="54" t="str">
        <f>if(iferror(match(A82,'March 23 - M3 1006'!G:G,0),FALSE),"o","")</f>
        <v>o</v>
      </c>
      <c r="H82" s="54" t="str">
        <f>if(iferror(match(A82,'March 23 - M3 1006'!L:L,0),FALSE),"o","")</f>
        <v/>
      </c>
      <c r="I82" s="55" t="str">
        <f>if(iferror(match(A82,'March 29 - M3 1006'!B:B,0),FALSE),"o","")</f>
        <v/>
      </c>
      <c r="J82" s="54" t="str">
        <f>if(iferror(match(A82,'March 29 - M3 1006'!G:G,0),FALSE),"o","")</f>
        <v>o</v>
      </c>
      <c r="K82" s="54" t="str">
        <f>if(iferror(match(A82,'March 29 - M3 1006'!L:L,0),FALSE),"o","")</f>
        <v/>
      </c>
      <c r="L82" s="55" t="str">
        <f>if(iferror(match(A82,'March 30 - M3 1006'!B:B,0),FALSE),"o","")</f>
        <v/>
      </c>
      <c r="M82" s="54" t="str">
        <f>if(iferror(match(A82,'March 30 - M3 1006'!G:G,0),FALSE),"o","")</f>
        <v/>
      </c>
      <c r="N82" s="54" t="str">
        <f>if(iferror(match(A82,'March 30 - M3 1006'!L:L,0),FALSE),"o","")</f>
        <v/>
      </c>
    </row>
    <row r="83" ht="22.5" customHeight="1">
      <c r="A83" s="50" t="s">
        <v>67</v>
      </c>
      <c r="B83" s="56">
        <f t="shared" si="1"/>
        <v>4</v>
      </c>
      <c r="C83" s="52" t="str">
        <f>if(iferror(match(A83,'March 22 - RCH 301'!B:B,0),FALSE),"o","")</f>
        <v>o</v>
      </c>
      <c r="D83" s="53" t="str">
        <f>if(iferror(match(A83,'March 22 - RCH 301'!G:G,0),FALSE),"o","")</f>
        <v/>
      </c>
      <c r="E83" s="54" t="str">
        <f>if(iferror(match(A83,'March 22 - RCH 301'!L:L,0),FALSE),"o","")</f>
        <v/>
      </c>
      <c r="F83" s="55" t="str">
        <f>if(iferror(match(A83,'March 23 - M3 1006'!B:B,0),FALSE),"o","")</f>
        <v>o</v>
      </c>
      <c r="G83" s="54" t="str">
        <f>if(iferror(match(A83,'March 23 - M3 1006'!G:G,0),FALSE),"o","")</f>
        <v/>
      </c>
      <c r="H83" s="54" t="str">
        <f>if(iferror(match(A83,'March 23 - M3 1006'!L:L,0),FALSE),"o","")</f>
        <v/>
      </c>
      <c r="I83" s="55" t="str">
        <f>if(iferror(match(A83,'March 29 - M3 1006'!B:B,0),FALSE),"o","")</f>
        <v>o</v>
      </c>
      <c r="J83" s="54" t="str">
        <f>if(iferror(match(A83,'March 29 - M3 1006'!G:G,0),FALSE),"o","")</f>
        <v/>
      </c>
      <c r="K83" s="54" t="str">
        <f>if(iferror(match(A83,'March 29 - M3 1006'!L:L,0),FALSE),"o","")</f>
        <v/>
      </c>
      <c r="L83" s="55" t="str">
        <f>if(iferror(match(A83,'March 30 - M3 1006'!B:B,0),FALSE),"o","")</f>
        <v>o</v>
      </c>
      <c r="M83" s="54" t="str">
        <f>if(iferror(match(A83,'March 30 - M3 1006'!G:G,0),FALSE),"o","")</f>
        <v/>
      </c>
      <c r="N83" s="54" t="str">
        <f>if(iferror(match(A83,'March 30 - M3 1006'!L:L,0),FALSE),"o","")</f>
        <v/>
      </c>
    </row>
    <row r="84" ht="22.5" customHeight="1">
      <c r="A84" s="50" t="s">
        <v>141</v>
      </c>
      <c r="B84" s="56">
        <f t="shared" si="1"/>
        <v>5</v>
      </c>
      <c r="C84" s="52" t="str">
        <f>if(iferror(match(A84,'March 22 - RCH 301'!B:B,0),FALSE),"o","")</f>
        <v/>
      </c>
      <c r="D84" s="53" t="str">
        <f>if(iferror(match(A84,'March 22 - RCH 301'!G:G,0),FALSE),"o","")</f>
        <v/>
      </c>
      <c r="E84" s="54" t="str">
        <f>if(iferror(match(A84,'March 22 - RCH 301'!L:L,0),FALSE),"o","")</f>
        <v/>
      </c>
      <c r="F84" s="55" t="str">
        <f>if(iferror(match(A84,'March 23 - M3 1006'!B:B,0),FALSE),"o","")</f>
        <v>o</v>
      </c>
      <c r="G84" s="54" t="str">
        <f>if(iferror(match(A84,'March 23 - M3 1006'!G:G,0),FALSE),"o","")</f>
        <v>o</v>
      </c>
      <c r="H84" s="54" t="str">
        <f>if(iferror(match(A84,'March 23 - M3 1006'!L:L,0),FALSE),"o","")</f>
        <v>o</v>
      </c>
      <c r="I84" s="55" t="str">
        <f>if(iferror(match(A84,'March 29 - M3 1006'!B:B,0),FALSE),"o","")</f>
        <v/>
      </c>
      <c r="J84" s="54" t="str">
        <f>if(iferror(match(A84,'March 29 - M3 1006'!G:G,0),FALSE),"o","")</f>
        <v>o</v>
      </c>
      <c r="K84" s="54" t="str">
        <f>if(iferror(match(A84,'March 29 - M3 1006'!L:L,0),FALSE),"o","")</f>
        <v>o</v>
      </c>
      <c r="L84" s="55" t="str">
        <f>if(iferror(match(A84,'March 30 - M3 1006'!B:B,0),FALSE),"o","")</f>
        <v/>
      </c>
      <c r="M84" s="54" t="str">
        <f>if(iferror(match(A84,'March 30 - M3 1006'!G:G,0),FALSE),"o","")</f>
        <v/>
      </c>
      <c r="N84" s="54" t="str">
        <f>if(iferror(match(A84,'March 30 - M3 1006'!L:L,0),FALSE),"o","")</f>
        <v/>
      </c>
    </row>
    <row r="85" ht="22.5" customHeight="1">
      <c r="A85" s="50" t="s">
        <v>71</v>
      </c>
      <c r="B85" s="56">
        <f t="shared" si="1"/>
        <v>3</v>
      </c>
      <c r="C85" s="52" t="str">
        <f>if(iferror(match(A85,'March 22 - RCH 301'!B:B,0),FALSE),"o","")</f>
        <v/>
      </c>
      <c r="D85" s="53" t="str">
        <f>if(iferror(match(A85,'March 22 - RCH 301'!G:G,0),FALSE),"o","")</f>
        <v>o</v>
      </c>
      <c r="E85" s="54" t="str">
        <f>if(iferror(match(A85,'March 22 - RCH 301'!L:L,0),FALSE),"o","")</f>
        <v>o</v>
      </c>
      <c r="F85" s="55" t="str">
        <f>if(iferror(match(A85,'March 23 - M3 1006'!B:B,0),FALSE),"o","")</f>
        <v/>
      </c>
      <c r="G85" s="54" t="str">
        <f>if(iferror(match(A85,'March 23 - M3 1006'!G:G,0),FALSE),"o","")</f>
        <v/>
      </c>
      <c r="H85" s="54" t="str">
        <f>if(iferror(match(A85,'March 23 - M3 1006'!L:L,0),FALSE),"o","")</f>
        <v/>
      </c>
      <c r="I85" s="55" t="str">
        <f>if(iferror(match(A85,'March 29 - M3 1006'!B:B,0),FALSE),"o","")</f>
        <v/>
      </c>
      <c r="J85" s="54" t="str">
        <f>if(iferror(match(A85,'March 29 - M3 1006'!G:G,0),FALSE),"o","")</f>
        <v>o</v>
      </c>
      <c r="K85" s="54" t="str">
        <f>if(iferror(match(A85,'March 29 - M3 1006'!L:L,0),FALSE),"o","")</f>
        <v/>
      </c>
      <c r="L85" s="55" t="str">
        <f>if(iferror(match(A85,'March 30 - M3 1006'!B:B,0),FALSE),"o","")</f>
        <v/>
      </c>
      <c r="M85" s="54" t="str">
        <f>if(iferror(match(A85,'March 30 - M3 1006'!G:G,0),FALSE),"o","")</f>
        <v/>
      </c>
      <c r="N85" s="54" t="str">
        <f>if(iferror(match(A85,'March 30 - M3 1006'!L:L,0),FALSE),"o","")</f>
        <v/>
      </c>
    </row>
    <row r="86" ht="22.5" customHeight="1">
      <c r="A86" s="50" t="s">
        <v>73</v>
      </c>
      <c r="B86" s="56">
        <f t="shared" si="1"/>
        <v>4</v>
      </c>
      <c r="C86" s="52" t="str">
        <f>if(iferror(match(A86,'March 22 - RCH 301'!B:B,0),FALSE),"o","")</f>
        <v>o</v>
      </c>
      <c r="D86" s="53" t="str">
        <f>if(iferror(match(A86,'March 22 - RCH 301'!G:G,0),FALSE),"o","")</f>
        <v>o</v>
      </c>
      <c r="E86" s="54" t="str">
        <f>if(iferror(match(A86,'March 22 - RCH 301'!L:L,0),FALSE),"o","")</f>
        <v/>
      </c>
      <c r="F86" s="55" t="str">
        <f>if(iferror(match(A86,'March 23 - M3 1006'!B:B,0),FALSE),"o","")</f>
        <v/>
      </c>
      <c r="G86" s="54" t="str">
        <f>if(iferror(match(A86,'March 23 - M3 1006'!G:G,0),FALSE),"o","")</f>
        <v/>
      </c>
      <c r="H86" s="54" t="str">
        <f>if(iferror(match(A86,'March 23 - M3 1006'!L:L,0),FALSE),"o","")</f>
        <v/>
      </c>
      <c r="I86" s="55" t="str">
        <f>if(iferror(match(A86,'March 29 - M3 1006'!B:B,0),FALSE),"o","")</f>
        <v/>
      </c>
      <c r="J86" s="54" t="str">
        <f>if(iferror(match(A86,'March 29 - M3 1006'!G:G,0),FALSE),"o","")</f>
        <v/>
      </c>
      <c r="K86" s="54" t="str">
        <f>if(iferror(match(A86,'March 29 - M3 1006'!L:L,0),FALSE),"o","")</f>
        <v/>
      </c>
      <c r="L86" s="55" t="str">
        <f>if(iferror(match(A86,'March 30 - M3 1006'!B:B,0),FALSE),"o","")</f>
        <v>o</v>
      </c>
      <c r="M86" s="54" t="str">
        <f>if(iferror(match(A86,'March 30 - M3 1006'!G:G,0),FALSE),"o","")</f>
        <v>o</v>
      </c>
      <c r="N86" s="54" t="str">
        <f>if(iferror(match(A86,'March 30 - M3 1006'!L:L,0),FALSE),"o","")</f>
        <v/>
      </c>
    </row>
    <row r="87" ht="22.5" customHeight="1">
      <c r="A87" s="50" t="s">
        <v>76</v>
      </c>
      <c r="B87" s="56">
        <f t="shared" si="1"/>
        <v>5</v>
      </c>
      <c r="C87" s="52" t="str">
        <f>if(iferror(match(A87,'March 22 - RCH 301'!B:B,0),FALSE),"o","")</f>
        <v>o</v>
      </c>
      <c r="D87" s="53" t="str">
        <f>if(iferror(match(A87,'March 22 - RCH 301'!G:G,0),FALSE),"o","")</f>
        <v>o</v>
      </c>
      <c r="E87" s="54" t="str">
        <f>if(iferror(match(A87,'March 22 - RCH 301'!L:L,0),FALSE),"o","")</f>
        <v/>
      </c>
      <c r="F87" s="55" t="str">
        <f>if(iferror(match(A87,'March 23 - M3 1006'!B:B,0),FALSE),"o","")</f>
        <v/>
      </c>
      <c r="G87" s="54" t="str">
        <f>if(iferror(match(A87,'March 23 - M3 1006'!G:G,0),FALSE),"o","")</f>
        <v/>
      </c>
      <c r="H87" s="54" t="str">
        <f>if(iferror(match(A87,'March 23 - M3 1006'!L:L,0),FALSE),"o","")</f>
        <v/>
      </c>
      <c r="I87" s="55" t="str">
        <f>if(iferror(match(A87,'March 29 - M3 1006'!B:B,0),FALSE),"o","")</f>
        <v>o</v>
      </c>
      <c r="J87" s="54" t="str">
        <f>if(iferror(match(A87,'March 29 - M3 1006'!G:G,0),FALSE),"o","")</f>
        <v>o</v>
      </c>
      <c r="K87" s="54" t="str">
        <f>if(iferror(match(A87,'March 29 - M3 1006'!L:L,0),FALSE),"o","")</f>
        <v/>
      </c>
      <c r="L87" s="55" t="str">
        <f>if(iferror(match(A87,'March 30 - M3 1006'!B:B,0),FALSE),"o","")</f>
        <v>o</v>
      </c>
      <c r="M87" s="54" t="str">
        <f>if(iferror(match(A87,'March 30 - M3 1006'!G:G,0),FALSE),"o","")</f>
        <v/>
      </c>
      <c r="N87" s="54" t="str">
        <f>if(iferror(match(A87,'March 30 - M3 1006'!L:L,0),FALSE),"o","")</f>
        <v/>
      </c>
    </row>
    <row r="88" ht="22.5" customHeight="1">
      <c r="A88" s="50" t="s">
        <v>143</v>
      </c>
      <c r="B88" s="56">
        <f t="shared" si="1"/>
        <v>4</v>
      </c>
      <c r="C88" s="52" t="str">
        <f>if(iferror(match(A88,'March 22 - RCH 301'!B:B,0),FALSE),"o","")</f>
        <v/>
      </c>
      <c r="D88" s="53" t="str">
        <f>if(iferror(match(A88,'March 22 - RCH 301'!G:G,0),FALSE),"o","")</f>
        <v/>
      </c>
      <c r="E88" s="54" t="str">
        <f>if(iferror(match(A88,'March 22 - RCH 301'!L:L,0),FALSE),"o","")</f>
        <v/>
      </c>
      <c r="F88" s="55" t="str">
        <f>if(iferror(match(A88,'March 23 - M3 1006'!B:B,0),FALSE),"o","")</f>
        <v/>
      </c>
      <c r="G88" s="54" t="str">
        <f>if(iferror(match(A88,'March 23 - M3 1006'!G:G,0),FALSE),"o","")</f>
        <v>o</v>
      </c>
      <c r="H88" s="54" t="str">
        <f>if(iferror(match(A88,'March 23 - M3 1006'!L:L,0),FALSE),"o","")</f>
        <v>o</v>
      </c>
      <c r="I88" s="55" t="str">
        <f>if(iferror(match(A88,'March 29 - M3 1006'!B:B,0),FALSE),"o","")</f>
        <v/>
      </c>
      <c r="J88" s="54" t="str">
        <f>if(iferror(match(A88,'March 29 - M3 1006'!G:G,0),FALSE),"o","")</f>
        <v>o</v>
      </c>
      <c r="K88" s="54" t="str">
        <f>if(iferror(match(A88,'March 29 - M3 1006'!L:L,0),FALSE),"o","")</f>
        <v>o</v>
      </c>
      <c r="L88" s="55" t="str">
        <f>if(iferror(match(A88,'March 30 - M3 1006'!B:B,0),FALSE),"o","")</f>
        <v/>
      </c>
      <c r="M88" s="54" t="str">
        <f>if(iferror(match(A88,'March 30 - M3 1006'!G:G,0),FALSE),"o","")</f>
        <v/>
      </c>
      <c r="N88" s="54" t="str">
        <f>if(iferror(match(A88,'March 30 - M3 1006'!L:L,0),FALSE),"o","")</f>
        <v/>
      </c>
    </row>
    <row r="89" ht="22.5" customHeight="1">
      <c r="A89" s="50" t="s">
        <v>6</v>
      </c>
      <c r="B89" s="56">
        <f t="shared" si="1"/>
        <v>6</v>
      </c>
      <c r="C89" s="52" t="str">
        <f>if(iferror(match(A89,'March 22 - RCH 301'!B:B,0),FALSE),"o","")</f>
        <v>o</v>
      </c>
      <c r="D89" s="53" t="str">
        <f>if(iferror(match(A89,'March 22 - RCH 301'!G:G,0),FALSE),"o","")</f>
        <v/>
      </c>
      <c r="E89" s="54" t="str">
        <f>if(iferror(match(A89,'March 22 - RCH 301'!L:L,0),FALSE),"o","")</f>
        <v>o</v>
      </c>
      <c r="F89" s="55" t="str">
        <f>if(iferror(match(A89,'March 23 - M3 1006'!B:B,0),FALSE),"o","")</f>
        <v>o</v>
      </c>
      <c r="G89" s="54" t="str">
        <f>if(iferror(match(A89,'March 23 - M3 1006'!G:G,0),FALSE),"o","")</f>
        <v>o</v>
      </c>
      <c r="H89" s="54" t="str">
        <f>if(iferror(match(A89,'March 23 - M3 1006'!L:L,0),FALSE),"o","")</f>
        <v/>
      </c>
      <c r="I89" s="55" t="str">
        <f>if(iferror(match(A89,'March 29 - M3 1006'!B:B,0),FALSE),"o","")</f>
        <v>o</v>
      </c>
      <c r="J89" s="54" t="str">
        <f>if(iferror(match(A89,'March 29 - M3 1006'!G:G,0),FALSE),"o","")</f>
        <v/>
      </c>
      <c r="K89" s="54" t="str">
        <f>if(iferror(match(A89,'March 29 - M3 1006'!L:L,0),FALSE),"o","")</f>
        <v/>
      </c>
      <c r="L89" s="55" t="str">
        <f>if(iferror(match(A89,'March 30 - M3 1006'!B:B,0),FALSE),"o","")</f>
        <v>o</v>
      </c>
      <c r="M89" s="54" t="str">
        <f>if(iferror(match(A89,'March 30 - M3 1006'!G:G,0),FALSE),"o","")</f>
        <v/>
      </c>
      <c r="N89" s="54" t="str">
        <f>if(iferror(match(A89,'March 30 - M3 1006'!L:L,0),FALSE),"o","")</f>
        <v/>
      </c>
    </row>
    <row r="90" ht="22.5" customHeight="1">
      <c r="A90" s="50" t="s">
        <v>195</v>
      </c>
      <c r="B90" s="56">
        <f t="shared" si="1"/>
        <v>3</v>
      </c>
      <c r="C90" s="52" t="str">
        <f>if(iferror(match(A90,'March 22 - RCH 301'!B:B,0),FALSE),"o","")</f>
        <v/>
      </c>
      <c r="D90" s="53" t="str">
        <f>if(iferror(match(A90,'March 22 - RCH 301'!G:G,0),FALSE),"o","")</f>
        <v/>
      </c>
      <c r="E90" s="54" t="str">
        <f>if(iferror(match(A90,'March 22 - RCH 301'!L:L,0),FALSE),"o","")</f>
        <v/>
      </c>
      <c r="F90" s="55" t="str">
        <f>if(iferror(match(A90,'March 23 - M3 1006'!B:B,0),FALSE),"o","")</f>
        <v/>
      </c>
      <c r="G90" s="54" t="str">
        <f>if(iferror(match(A90,'March 23 - M3 1006'!G:G,0),FALSE),"o","")</f>
        <v/>
      </c>
      <c r="H90" s="54" t="str">
        <f>if(iferror(match(A90,'March 23 - M3 1006'!L:L,0),FALSE),"o","")</f>
        <v/>
      </c>
      <c r="I90" s="55" t="str">
        <f>if(iferror(match(A90,'March 29 - M3 1006'!B:B,0),FALSE),"o","")</f>
        <v>o</v>
      </c>
      <c r="J90" s="54" t="str">
        <f>if(iferror(match(A90,'March 29 - M3 1006'!G:G,0),FALSE),"o","")</f>
        <v>o</v>
      </c>
      <c r="K90" s="54" t="str">
        <f>if(iferror(match(A90,'March 29 - M3 1006'!L:L,0),FALSE),"o","")</f>
        <v>o</v>
      </c>
      <c r="L90" s="55" t="str">
        <f>if(iferror(match(A90,'March 30 - M3 1006'!B:B,0),FALSE),"o","")</f>
        <v/>
      </c>
      <c r="M90" s="54" t="str">
        <f>if(iferror(match(A90,'March 30 - M3 1006'!G:G,0),FALSE),"o","")</f>
        <v/>
      </c>
      <c r="N90" s="54" t="str">
        <f>if(iferror(match(A90,'March 30 - M3 1006'!L:L,0),FALSE),"o","")</f>
        <v/>
      </c>
    </row>
    <row r="91" ht="22.5" customHeight="1">
      <c r="A91" s="50" t="s">
        <v>145</v>
      </c>
      <c r="B91" s="56">
        <f t="shared" si="1"/>
        <v>4</v>
      </c>
      <c r="C91" s="52" t="str">
        <f>if(iferror(match(A91,'March 22 - RCH 301'!B:B,0),FALSE),"o","")</f>
        <v/>
      </c>
      <c r="D91" s="53" t="str">
        <f>if(iferror(match(A91,'March 22 - RCH 301'!G:G,0),FALSE),"o","")</f>
        <v/>
      </c>
      <c r="E91" s="54" t="str">
        <f>if(iferror(match(A91,'March 22 - RCH 301'!L:L,0),FALSE),"o","")</f>
        <v/>
      </c>
      <c r="F91" s="55" t="str">
        <f>if(iferror(match(A91,'March 23 - M3 1006'!B:B,0),FALSE),"o","")</f>
        <v/>
      </c>
      <c r="G91" s="54" t="str">
        <f>if(iferror(match(A91,'March 23 - M3 1006'!G:G,0),FALSE),"o","")</f>
        <v/>
      </c>
      <c r="H91" s="54" t="str">
        <f>if(iferror(match(A91,'March 23 - M3 1006'!L:L,0),FALSE),"o","")</f>
        <v>o</v>
      </c>
      <c r="I91" s="55" t="str">
        <f>if(iferror(match(A91,'March 29 - M3 1006'!B:B,0),FALSE),"o","")</f>
        <v/>
      </c>
      <c r="J91" s="54" t="str">
        <f>if(iferror(match(A91,'March 29 - M3 1006'!G:G,0),FALSE),"o","")</f>
        <v>o</v>
      </c>
      <c r="K91" s="54" t="str">
        <f>if(iferror(match(A91,'March 29 - M3 1006'!L:L,0),FALSE),"o","")</f>
        <v/>
      </c>
      <c r="L91" s="55" t="str">
        <f>if(iferror(match(A91,'March 30 - M3 1006'!B:B,0),FALSE),"o","")</f>
        <v/>
      </c>
      <c r="M91" s="54" t="str">
        <f>if(iferror(match(A91,'March 30 - M3 1006'!G:G,0),FALSE),"o","")</f>
        <v>o</v>
      </c>
      <c r="N91" s="54" t="str">
        <f>if(iferror(match(A91,'March 30 - M3 1006'!L:L,0),FALSE),"o","")</f>
        <v>o</v>
      </c>
    </row>
    <row r="92" ht="22.5" customHeight="1">
      <c r="A92" s="50" t="s">
        <v>80</v>
      </c>
      <c r="B92" s="56">
        <f t="shared" si="1"/>
        <v>3</v>
      </c>
      <c r="C92" s="52" t="str">
        <f>if(iferror(match(A92,'March 22 - RCH 301'!B:B,0),FALSE),"o","")</f>
        <v>o</v>
      </c>
      <c r="D92" s="53" t="str">
        <f>if(iferror(match(A92,'March 22 - RCH 301'!G:G,0),FALSE),"o","")</f>
        <v/>
      </c>
      <c r="E92" s="54" t="str">
        <f>if(iferror(match(A92,'March 22 - RCH 301'!L:L,0),FALSE),"o","")</f>
        <v/>
      </c>
      <c r="F92" s="55" t="str">
        <f>if(iferror(match(A92,'March 23 - M3 1006'!B:B,0),FALSE),"o","")</f>
        <v>o</v>
      </c>
      <c r="G92" s="54" t="str">
        <f>if(iferror(match(A92,'March 23 - M3 1006'!G:G,0),FALSE),"o","")</f>
        <v/>
      </c>
      <c r="H92" s="54" t="str">
        <f>if(iferror(match(A92,'March 23 - M3 1006'!L:L,0),FALSE),"o","")</f>
        <v/>
      </c>
      <c r="I92" s="55" t="str">
        <f>if(iferror(match(A92,'March 29 - M3 1006'!B:B,0),FALSE),"o","")</f>
        <v>o</v>
      </c>
      <c r="J92" s="54" t="str">
        <f>if(iferror(match(A92,'March 29 - M3 1006'!G:G,0),FALSE),"o","")</f>
        <v/>
      </c>
      <c r="K92" s="54" t="str">
        <f>if(iferror(match(A92,'March 29 - M3 1006'!L:L,0),FALSE),"o","")</f>
        <v/>
      </c>
      <c r="L92" s="55" t="str">
        <f>if(iferror(match(A92,'March 30 - M3 1006'!B:B,0),FALSE),"o","")</f>
        <v/>
      </c>
      <c r="M92" s="54" t="str">
        <f>if(iferror(match(A92,'March 30 - M3 1006'!G:G,0),FALSE),"o","")</f>
        <v/>
      </c>
      <c r="N92" s="54" t="str">
        <f>if(iferror(match(A92,'March 30 - M3 1006'!L:L,0),FALSE),"o","")</f>
        <v/>
      </c>
    </row>
    <row r="93" ht="22.5" customHeight="1">
      <c r="A93" s="50" t="s">
        <v>81</v>
      </c>
      <c r="B93" s="56">
        <f t="shared" si="1"/>
        <v>8</v>
      </c>
      <c r="C93" s="52" t="str">
        <f>if(iferror(match(A93,'March 22 - RCH 301'!B:B,0),FALSE),"o","")</f>
        <v>o</v>
      </c>
      <c r="D93" s="53" t="str">
        <f>if(iferror(match(A93,'March 22 - RCH 301'!G:G,0),FALSE),"o","")</f>
        <v>o</v>
      </c>
      <c r="E93" s="54" t="str">
        <f>if(iferror(match(A93,'March 22 - RCH 301'!L:L,0),FALSE),"o","")</f>
        <v/>
      </c>
      <c r="F93" s="55" t="str">
        <f>if(iferror(match(A93,'March 23 - M3 1006'!B:B,0),FALSE),"o","")</f>
        <v>o</v>
      </c>
      <c r="G93" s="54" t="str">
        <f>if(iferror(match(A93,'March 23 - M3 1006'!G:G,0),FALSE),"o","")</f>
        <v>o</v>
      </c>
      <c r="H93" s="54" t="str">
        <f>if(iferror(match(A93,'March 23 - M3 1006'!L:L,0),FALSE),"o","")</f>
        <v/>
      </c>
      <c r="I93" s="55" t="str">
        <f>if(iferror(match(A93,'March 29 - M3 1006'!B:B,0),FALSE),"o","")</f>
        <v>o</v>
      </c>
      <c r="J93" s="54" t="str">
        <f>if(iferror(match(A93,'March 29 - M3 1006'!G:G,0),FALSE),"o","")</f>
        <v>o</v>
      </c>
      <c r="K93" s="54" t="str">
        <f>if(iferror(match(A93,'March 29 - M3 1006'!L:L,0),FALSE),"o","")</f>
        <v/>
      </c>
      <c r="L93" s="55" t="str">
        <f>if(iferror(match(A93,'March 30 - M3 1006'!B:B,0),FALSE),"o","")</f>
        <v>o</v>
      </c>
      <c r="M93" s="54" t="str">
        <f>if(iferror(match(A93,'March 30 - M3 1006'!G:G,0),FALSE),"o","")</f>
        <v>o</v>
      </c>
      <c r="N93" s="54" t="str">
        <f>if(iferror(match(A93,'March 30 - M3 1006'!L:L,0),FALSE),"o","")</f>
        <v/>
      </c>
    </row>
    <row r="94" ht="22.5" customHeight="1">
      <c r="A94" s="50" t="s">
        <v>146</v>
      </c>
      <c r="B94" s="56">
        <f t="shared" si="1"/>
        <v>4</v>
      </c>
      <c r="C94" s="52" t="str">
        <f>if(iferror(match(A94,'March 22 - RCH 301'!B:B,0),FALSE),"o","")</f>
        <v/>
      </c>
      <c r="D94" s="53" t="str">
        <f>if(iferror(match(A94,'March 22 - RCH 301'!G:G,0),FALSE),"o","")</f>
        <v/>
      </c>
      <c r="E94" s="54" t="str">
        <f>if(iferror(match(A94,'March 22 - RCH 301'!L:L,0),FALSE),"o","")</f>
        <v/>
      </c>
      <c r="F94" s="55" t="str">
        <f>if(iferror(match(A94,'March 23 - M3 1006'!B:B,0),FALSE),"o","")</f>
        <v>o</v>
      </c>
      <c r="G94" s="54" t="str">
        <f>if(iferror(match(A94,'March 23 - M3 1006'!G:G,0),FALSE),"o","")</f>
        <v>o</v>
      </c>
      <c r="H94" s="54" t="str">
        <f>if(iferror(match(A94,'March 23 - M3 1006'!L:L,0),FALSE),"o","")</f>
        <v/>
      </c>
      <c r="I94" s="55" t="str">
        <f>if(iferror(match(A94,'March 29 - M3 1006'!B:B,0),FALSE),"o","")</f>
        <v/>
      </c>
      <c r="J94" s="54" t="str">
        <f>if(iferror(match(A94,'March 29 - M3 1006'!G:G,0),FALSE),"o","")</f>
        <v/>
      </c>
      <c r="K94" s="54" t="str">
        <f>if(iferror(match(A94,'March 29 - M3 1006'!L:L,0),FALSE),"o","")</f>
        <v/>
      </c>
      <c r="L94" s="55" t="str">
        <f>if(iferror(match(A94,'March 30 - M3 1006'!B:B,0),FALSE),"o","")</f>
        <v>o</v>
      </c>
      <c r="M94" s="54" t="str">
        <f>if(iferror(match(A94,'March 30 - M3 1006'!G:G,0),FALSE),"o","")</f>
        <v>o</v>
      </c>
      <c r="N94" s="54" t="str">
        <f>if(iferror(match(A94,'March 30 - M3 1006'!L:L,0),FALSE),"o","")</f>
        <v/>
      </c>
    </row>
    <row r="95" ht="22.5" customHeight="1">
      <c r="A95" s="50" t="s">
        <v>197</v>
      </c>
      <c r="B95" s="56">
        <f t="shared" si="1"/>
        <v>3</v>
      </c>
      <c r="C95" s="52" t="str">
        <f>if(iferror(match(A95,'March 22 - RCH 301'!B:B,0),FALSE),"o","")</f>
        <v/>
      </c>
      <c r="D95" s="53" t="str">
        <f>if(iferror(match(A95,'March 22 - RCH 301'!G:G,0),FALSE),"o","")</f>
        <v/>
      </c>
      <c r="E95" s="54" t="str">
        <f>if(iferror(match(A95,'March 22 - RCH 301'!L:L,0),FALSE),"o","")</f>
        <v/>
      </c>
      <c r="F95" s="55" t="str">
        <f>if(iferror(match(A95,'March 23 - M3 1006'!B:B,0),FALSE),"o","")</f>
        <v/>
      </c>
      <c r="G95" s="54" t="str">
        <f>if(iferror(match(A95,'March 23 - M3 1006'!G:G,0),FALSE),"o","")</f>
        <v/>
      </c>
      <c r="H95" s="54" t="str">
        <f>if(iferror(match(A95,'March 23 - M3 1006'!L:L,0),FALSE),"o","")</f>
        <v/>
      </c>
      <c r="I95" s="55" t="str">
        <f>if(iferror(match(A95,'March 29 - M3 1006'!B:B,0),FALSE),"o","")</f>
        <v>o</v>
      </c>
      <c r="J95" s="54" t="str">
        <f>if(iferror(match(A95,'March 29 - M3 1006'!G:G,0),FALSE),"o","")</f>
        <v>o</v>
      </c>
      <c r="K95" s="54" t="str">
        <f>if(iferror(match(A95,'March 29 - M3 1006'!L:L,0),FALSE),"o","")</f>
        <v>o</v>
      </c>
      <c r="L95" s="55" t="str">
        <f>if(iferror(match(A95,'March 30 - M3 1006'!B:B,0),FALSE),"o","")</f>
        <v/>
      </c>
      <c r="M95" s="54" t="str">
        <f>if(iferror(match(A95,'March 30 - M3 1006'!G:G,0),FALSE),"o","")</f>
        <v/>
      </c>
      <c r="N95" s="54" t="str">
        <f>if(iferror(match(A95,'March 30 - M3 1006'!L:L,0),FALSE),"o","")</f>
        <v/>
      </c>
    </row>
    <row r="96" ht="22.5" customHeight="1">
      <c r="A96" s="50" t="s">
        <v>75</v>
      </c>
      <c r="B96" s="56">
        <f t="shared" si="1"/>
        <v>6</v>
      </c>
      <c r="C96" s="52" t="str">
        <f>if(iferror(match(A96,'March 22 - RCH 301'!B:B,0),FALSE),"o","")</f>
        <v>o</v>
      </c>
      <c r="D96" s="53" t="str">
        <f>if(iferror(match(A96,'March 22 - RCH 301'!G:G,0),FALSE),"o","")</f>
        <v>o</v>
      </c>
      <c r="E96" s="54" t="str">
        <f>if(iferror(match(A96,'March 22 - RCH 301'!L:L,0),FALSE),"o","")</f>
        <v>o</v>
      </c>
      <c r="F96" s="55" t="str">
        <f>if(iferror(match(A96,'March 23 - M3 1006'!B:B,0),FALSE),"o","")</f>
        <v/>
      </c>
      <c r="G96" s="54" t="str">
        <f>if(iferror(match(A96,'March 23 - M3 1006'!G:G,0),FALSE),"o","")</f>
        <v>o</v>
      </c>
      <c r="H96" s="54" t="str">
        <f>if(iferror(match(A96,'March 23 - M3 1006'!L:L,0),FALSE),"o","")</f>
        <v/>
      </c>
      <c r="I96" s="55" t="str">
        <f>if(iferror(match(A96,'March 29 - M3 1006'!B:B,0),FALSE),"o","")</f>
        <v>o</v>
      </c>
      <c r="J96" s="54" t="str">
        <f>if(iferror(match(A96,'March 29 - M3 1006'!G:G,0),FALSE),"o","")</f>
        <v/>
      </c>
      <c r="K96" s="54" t="str">
        <f>if(iferror(match(A96,'March 29 - M3 1006'!L:L,0),FALSE),"o","")</f>
        <v/>
      </c>
      <c r="L96" s="55" t="str">
        <f>if(iferror(match(A96,'March 30 - M3 1006'!B:B,0),FALSE),"o","")</f>
        <v/>
      </c>
      <c r="M96" s="54" t="str">
        <f>if(iferror(match(A96,'March 30 - M3 1006'!G:G,0),FALSE),"o","")</f>
        <v>o</v>
      </c>
      <c r="N96" s="54" t="str">
        <f>if(iferror(match(A96,'March 30 - M3 1006'!L:L,0),FALSE),"o","")</f>
        <v/>
      </c>
    </row>
    <row r="97" ht="22.5" customHeight="1">
      <c r="A97" s="50" t="s">
        <v>200</v>
      </c>
      <c r="B97" s="56">
        <f t="shared" si="1"/>
        <v>1</v>
      </c>
      <c r="C97" s="52" t="str">
        <f>if(iferror(match(A97,'March 22 - RCH 301'!B:B,0),FALSE),"o","")</f>
        <v/>
      </c>
      <c r="D97" s="53" t="str">
        <f>if(iferror(match(A97,'March 22 - RCH 301'!G:G,0),FALSE),"o","")</f>
        <v/>
      </c>
      <c r="E97" s="54" t="str">
        <f>if(iferror(match(A97,'March 22 - RCH 301'!L:L,0),FALSE),"o","")</f>
        <v/>
      </c>
      <c r="F97" s="55" t="str">
        <f>if(iferror(match(A97,'March 23 - M3 1006'!B:B,0),FALSE),"o","")</f>
        <v/>
      </c>
      <c r="G97" s="54" t="str">
        <f>if(iferror(match(A97,'March 23 - M3 1006'!G:G,0),FALSE),"o","")</f>
        <v/>
      </c>
      <c r="H97" s="54" t="str">
        <f>if(iferror(match(A97,'March 23 - M3 1006'!L:L,0),FALSE),"o","")</f>
        <v/>
      </c>
      <c r="I97" s="55" t="str">
        <f>if(iferror(match(A97,'March 29 - M3 1006'!B:B,0),FALSE),"o","")</f>
        <v>o</v>
      </c>
      <c r="J97" s="54" t="str">
        <f>if(iferror(match(A97,'March 29 - M3 1006'!G:G,0),FALSE),"o","")</f>
        <v/>
      </c>
      <c r="K97" s="54" t="str">
        <f>if(iferror(match(A97,'March 29 - M3 1006'!L:L,0),FALSE),"o","")</f>
        <v/>
      </c>
      <c r="L97" s="55" t="str">
        <f>if(iferror(match(A97,'March 30 - M3 1006'!B:B,0),FALSE),"o","")</f>
        <v/>
      </c>
      <c r="M97" s="54" t="str">
        <f>if(iferror(match(A97,'March 30 - M3 1006'!G:G,0),FALSE),"o","")</f>
        <v/>
      </c>
      <c r="N97" s="54" t="str">
        <f>if(iferror(match(A97,'March 30 - M3 1006'!L:L,0),FALSE),"o","")</f>
        <v/>
      </c>
    </row>
    <row r="98" ht="22.5" customHeight="1">
      <c r="A98" s="50" t="s">
        <v>199</v>
      </c>
      <c r="B98" s="56">
        <f t="shared" si="1"/>
        <v>3</v>
      </c>
      <c r="C98" s="52" t="str">
        <f>if(iferror(match(A98,'March 22 - RCH 301'!B:B,0),FALSE),"o","")</f>
        <v/>
      </c>
      <c r="D98" s="53" t="str">
        <f>if(iferror(match(A98,'March 22 - RCH 301'!G:G,0),FALSE),"o","")</f>
        <v/>
      </c>
      <c r="E98" s="54" t="str">
        <f>if(iferror(match(A98,'March 22 - RCH 301'!L:L,0),FALSE),"o","")</f>
        <v/>
      </c>
      <c r="F98" s="55" t="str">
        <f>if(iferror(match(A98,'March 23 - M3 1006'!B:B,0),FALSE),"o","")</f>
        <v/>
      </c>
      <c r="G98" s="54" t="str">
        <f>if(iferror(match(A98,'March 23 - M3 1006'!G:G,0),FALSE),"o","")</f>
        <v/>
      </c>
      <c r="H98" s="54" t="str">
        <f>if(iferror(match(A98,'March 23 - M3 1006'!L:L,0),FALSE),"o","")</f>
        <v/>
      </c>
      <c r="I98" s="55" t="str">
        <f>if(iferror(match(A98,'March 29 - M3 1006'!B:B,0),FALSE),"o","")</f>
        <v/>
      </c>
      <c r="J98" s="54" t="str">
        <f>if(iferror(match(A98,'March 29 - M3 1006'!G:G,0),FALSE),"o","")</f>
        <v>o</v>
      </c>
      <c r="K98" s="54" t="str">
        <f>if(iferror(match(A98,'March 29 - M3 1006'!L:L,0),FALSE),"o","")</f>
        <v>o</v>
      </c>
      <c r="L98" s="55" t="str">
        <f>if(iferror(match(A98,'March 30 - M3 1006'!B:B,0),FALSE),"o","")</f>
        <v>o</v>
      </c>
      <c r="M98" s="54" t="str">
        <f>if(iferror(match(A98,'March 30 - M3 1006'!G:G,0),FALSE),"o","")</f>
        <v/>
      </c>
      <c r="N98" s="54" t="str">
        <f>if(iferror(match(A98,'March 30 - M3 1006'!L:L,0),FALSE),"o","")</f>
        <v/>
      </c>
    </row>
    <row r="99" ht="22.5" customHeight="1">
      <c r="A99" s="50" t="s">
        <v>149</v>
      </c>
      <c r="B99" s="56">
        <f t="shared" si="1"/>
        <v>5</v>
      </c>
      <c r="C99" s="52" t="str">
        <f>if(iferror(match(A99,'March 22 - RCH 301'!B:B,0),FALSE),"o","")</f>
        <v/>
      </c>
      <c r="D99" s="53" t="str">
        <f>if(iferror(match(A99,'March 22 - RCH 301'!G:G,0),FALSE),"o","")</f>
        <v/>
      </c>
      <c r="E99" s="54" t="str">
        <f>if(iferror(match(A99,'March 22 - RCH 301'!L:L,0),FALSE),"o","")</f>
        <v/>
      </c>
      <c r="F99" s="55" t="str">
        <f>if(iferror(match(A99,'March 23 - M3 1006'!B:B,0),FALSE),"o","")</f>
        <v>o</v>
      </c>
      <c r="G99" s="54" t="str">
        <f>if(iferror(match(A99,'March 23 - M3 1006'!G:G,0),FALSE),"o","")</f>
        <v>o</v>
      </c>
      <c r="H99" s="54" t="str">
        <f>if(iferror(match(A99,'March 23 - M3 1006'!L:L,0),FALSE),"o","")</f>
        <v/>
      </c>
      <c r="I99" s="55" t="str">
        <f>if(iferror(match(A99,'March 29 - M3 1006'!B:B,0),FALSE),"o","")</f>
        <v/>
      </c>
      <c r="J99" s="54" t="str">
        <f>if(iferror(match(A99,'March 29 - M3 1006'!G:G,0),FALSE),"o","")</f>
        <v>o</v>
      </c>
      <c r="K99" s="54" t="str">
        <f>if(iferror(match(A99,'March 29 - M3 1006'!L:L,0),FALSE),"o","")</f>
        <v>o</v>
      </c>
      <c r="L99" s="55" t="str">
        <f>if(iferror(match(A99,'March 30 - M3 1006'!B:B,0),FALSE),"o","")</f>
        <v/>
      </c>
      <c r="M99" s="54" t="str">
        <f>if(iferror(match(A99,'March 30 - M3 1006'!G:G,0),FALSE),"o","")</f>
        <v>o</v>
      </c>
      <c r="N99" s="54" t="str">
        <f>if(iferror(match(A99,'March 30 - M3 1006'!L:L,0),FALSE),"o","")</f>
        <v/>
      </c>
    </row>
    <row r="100" ht="22.5" customHeight="1">
      <c r="A100" s="50" t="s">
        <v>147</v>
      </c>
      <c r="B100" s="56">
        <f t="shared" si="1"/>
        <v>4</v>
      </c>
      <c r="C100" s="52" t="str">
        <f>if(iferror(match(A100,'March 22 - RCH 301'!B:B,0),FALSE),"o","")</f>
        <v/>
      </c>
      <c r="D100" s="53" t="str">
        <f>if(iferror(match(A100,'March 22 - RCH 301'!G:G,0),FALSE),"o","")</f>
        <v/>
      </c>
      <c r="E100" s="54" t="str">
        <f>if(iferror(match(A100,'March 22 - RCH 301'!L:L,0),FALSE),"o","")</f>
        <v/>
      </c>
      <c r="F100" s="55" t="str">
        <f>if(iferror(match(A100,'March 23 - M3 1006'!B:B,0),FALSE),"o","")</f>
        <v/>
      </c>
      <c r="G100" s="54" t="str">
        <f>if(iferror(match(A100,'March 23 - M3 1006'!G:G,0),FALSE),"o","")</f>
        <v>o</v>
      </c>
      <c r="H100" s="54" t="str">
        <f>if(iferror(match(A100,'March 23 - M3 1006'!L:L,0),FALSE),"o","")</f>
        <v>o</v>
      </c>
      <c r="I100" s="55" t="str">
        <f>if(iferror(match(A100,'March 29 - M3 1006'!B:B,0),FALSE),"o","")</f>
        <v/>
      </c>
      <c r="J100" s="54" t="str">
        <f>if(iferror(match(A100,'March 29 - M3 1006'!G:G,0),FALSE),"o","")</f>
        <v/>
      </c>
      <c r="K100" s="54" t="str">
        <f>if(iferror(match(A100,'March 29 - M3 1006'!L:L,0),FALSE),"o","")</f>
        <v/>
      </c>
      <c r="L100" s="55" t="str">
        <f>if(iferror(match(A100,'March 30 - M3 1006'!B:B,0),FALSE),"o","")</f>
        <v/>
      </c>
      <c r="M100" s="54" t="str">
        <f>if(iferror(match(A100,'March 30 - M3 1006'!G:G,0),FALSE),"o","")</f>
        <v>o</v>
      </c>
      <c r="N100" s="54" t="str">
        <f>if(iferror(match(A100,'March 30 - M3 1006'!L:L,0),FALSE),"o","")</f>
        <v>o</v>
      </c>
    </row>
    <row r="101" ht="22.5" customHeight="1">
      <c r="A101" s="50" t="s">
        <v>63</v>
      </c>
      <c r="B101" s="56">
        <f t="shared" si="1"/>
        <v>4</v>
      </c>
      <c r="C101" s="52" t="str">
        <f>if(iferror(match(A101,'March 22 - RCH 301'!B:B,0),FALSE),"o","")</f>
        <v>o</v>
      </c>
      <c r="D101" s="53" t="str">
        <f>if(iferror(match(A101,'March 22 - RCH 301'!G:G,0),FALSE),"o","")</f>
        <v/>
      </c>
      <c r="E101" s="54" t="str">
        <f>if(iferror(match(A101,'March 22 - RCH 301'!L:L,0),FALSE),"o","")</f>
        <v/>
      </c>
      <c r="F101" s="55" t="str">
        <f>if(iferror(match(A101,'March 23 - M3 1006'!B:B,0),FALSE),"o","")</f>
        <v>o</v>
      </c>
      <c r="G101" s="54" t="str">
        <f>if(iferror(match(A101,'March 23 - M3 1006'!G:G,0),FALSE),"o","")</f>
        <v/>
      </c>
      <c r="H101" s="54" t="str">
        <f>if(iferror(match(A101,'March 23 - M3 1006'!L:L,0),FALSE),"o","")</f>
        <v/>
      </c>
      <c r="I101" s="55" t="str">
        <f>if(iferror(match(A101,'March 29 - M3 1006'!B:B,0),FALSE),"o","")</f>
        <v>o</v>
      </c>
      <c r="J101" s="54" t="str">
        <f>if(iferror(match(A101,'March 29 - M3 1006'!G:G,0),FALSE),"o","")</f>
        <v/>
      </c>
      <c r="K101" s="54" t="str">
        <f>if(iferror(match(A101,'March 29 - M3 1006'!L:L,0),FALSE),"o","")</f>
        <v/>
      </c>
      <c r="L101" s="55" t="str">
        <f>if(iferror(match(A101,'March 30 - M3 1006'!B:B,0),FALSE),"o","")</f>
        <v>o</v>
      </c>
      <c r="M101" s="54" t="str">
        <f>if(iferror(match(A101,'March 30 - M3 1006'!G:G,0),FALSE),"o","")</f>
        <v/>
      </c>
      <c r="N101" s="54" t="str">
        <f>if(iferror(match(A101,'March 30 - M3 1006'!L:L,0),FALSE),"o","")</f>
        <v/>
      </c>
    </row>
    <row r="102" ht="22.5" customHeight="1">
      <c r="A102" s="50" t="s">
        <v>203</v>
      </c>
      <c r="B102" s="56">
        <f t="shared" si="1"/>
        <v>3</v>
      </c>
      <c r="C102" s="52" t="str">
        <f>if(iferror(match(A102,'March 22 - RCH 301'!B:B,0),FALSE),"o","")</f>
        <v/>
      </c>
      <c r="D102" s="53" t="str">
        <f>if(iferror(match(A102,'March 22 - RCH 301'!G:G,0),FALSE),"o","")</f>
        <v/>
      </c>
      <c r="E102" s="54" t="str">
        <f>if(iferror(match(A102,'March 22 - RCH 301'!L:L,0),FALSE),"o","")</f>
        <v/>
      </c>
      <c r="F102" s="55" t="str">
        <f>if(iferror(match(A102,'March 23 - M3 1006'!B:B,0),FALSE),"o","")</f>
        <v/>
      </c>
      <c r="G102" s="54" t="str">
        <f>if(iferror(match(A102,'March 23 - M3 1006'!G:G,0),FALSE),"o","")</f>
        <v/>
      </c>
      <c r="H102" s="54" t="str">
        <f>if(iferror(match(A102,'March 23 - M3 1006'!L:L,0),FALSE),"o","")</f>
        <v/>
      </c>
      <c r="I102" s="55" t="str">
        <f>if(iferror(match(A102,'March 29 - M3 1006'!B:B,0),FALSE),"o","")</f>
        <v>o</v>
      </c>
      <c r="J102" s="54" t="str">
        <f>if(iferror(match(A102,'March 29 - M3 1006'!G:G,0),FALSE),"o","")</f>
        <v>o</v>
      </c>
      <c r="K102" s="54" t="str">
        <f>if(iferror(match(A102,'March 29 - M3 1006'!L:L,0),FALSE),"o","")</f>
        <v/>
      </c>
      <c r="L102" s="55" t="str">
        <f>if(iferror(match(A102,'March 30 - M3 1006'!B:B,0),FALSE),"o","")</f>
        <v/>
      </c>
      <c r="M102" s="54" t="str">
        <f>if(iferror(match(A102,'March 30 - M3 1006'!G:G,0),FALSE),"o","")</f>
        <v>o</v>
      </c>
      <c r="N102" s="54" t="str">
        <f>if(iferror(match(A102,'March 30 - M3 1006'!L:L,0),FALSE),"o","")</f>
        <v/>
      </c>
    </row>
    <row r="103" ht="22.5" customHeight="1">
      <c r="A103" s="50" t="s">
        <v>148</v>
      </c>
      <c r="B103" s="56">
        <f t="shared" si="1"/>
        <v>4</v>
      </c>
      <c r="C103" s="52" t="str">
        <f>if(iferror(match(A103,'March 22 - RCH 301'!B:B,0),FALSE),"o","")</f>
        <v/>
      </c>
      <c r="D103" s="53" t="str">
        <f>if(iferror(match(A103,'March 22 - RCH 301'!G:G,0),FALSE),"o","")</f>
        <v/>
      </c>
      <c r="E103" s="54" t="str">
        <f>if(iferror(match(A103,'March 22 - RCH 301'!L:L,0),FALSE),"o","")</f>
        <v/>
      </c>
      <c r="F103" s="55" t="str">
        <f>if(iferror(match(A103,'March 23 - M3 1006'!B:B,0),FALSE),"o","")</f>
        <v/>
      </c>
      <c r="G103" s="54" t="str">
        <f>if(iferror(match(A103,'March 23 - M3 1006'!G:G,0),FALSE),"o","")</f>
        <v/>
      </c>
      <c r="H103" s="54" t="str">
        <f>if(iferror(match(A103,'March 23 - M3 1006'!L:L,0),FALSE),"o","")</f>
        <v>o</v>
      </c>
      <c r="I103" s="55" t="str">
        <f>if(iferror(match(A103,'March 29 - M3 1006'!B:B,0),FALSE),"o","")</f>
        <v/>
      </c>
      <c r="J103" s="54" t="str">
        <f>if(iferror(match(A103,'March 29 - M3 1006'!G:G,0),FALSE),"o","")</f>
        <v>o</v>
      </c>
      <c r="K103" s="54" t="str">
        <f>if(iferror(match(A103,'March 29 - M3 1006'!L:L,0),FALSE),"o","")</f>
        <v>o</v>
      </c>
      <c r="L103" s="55" t="str">
        <f>if(iferror(match(A103,'March 30 - M3 1006'!B:B,0),FALSE),"o","")</f>
        <v/>
      </c>
      <c r="M103" s="54" t="str">
        <f>if(iferror(match(A103,'March 30 - M3 1006'!G:G,0),FALSE),"o","")</f>
        <v>o</v>
      </c>
      <c r="N103" s="54" t="str">
        <f>if(iferror(match(A103,'March 30 - M3 1006'!L:L,0),FALSE),"o","")</f>
        <v/>
      </c>
    </row>
    <row r="104" ht="22.5" customHeight="1">
      <c r="A104" s="50" t="s">
        <v>90</v>
      </c>
      <c r="B104" s="56">
        <f t="shared" si="1"/>
        <v>4</v>
      </c>
      <c r="C104" s="52" t="str">
        <f>if(iferror(match(A104,'March 22 - RCH 301'!B:B,0),FALSE),"o","")</f>
        <v/>
      </c>
      <c r="D104" s="53" t="str">
        <f>if(iferror(match(A104,'March 22 - RCH 301'!G:G,0),FALSE),"o","")</f>
        <v>o</v>
      </c>
      <c r="E104" s="54" t="str">
        <f>if(iferror(match(A104,'March 22 - RCH 301'!L:L,0),FALSE),"o","")</f>
        <v>o</v>
      </c>
      <c r="F104" s="55" t="str">
        <f>if(iferror(match(A104,'March 23 - M3 1006'!B:B,0),FALSE),"o","")</f>
        <v>o</v>
      </c>
      <c r="G104" s="54" t="str">
        <f>if(iferror(match(A104,'March 23 - M3 1006'!G:G,0),FALSE),"o","")</f>
        <v>o</v>
      </c>
      <c r="H104" s="54" t="str">
        <f>if(iferror(match(A104,'March 23 - M3 1006'!L:L,0),FALSE),"o","")</f>
        <v/>
      </c>
      <c r="I104" s="55" t="str">
        <f>if(iferror(match(A104,'March 29 - M3 1006'!B:B,0),FALSE),"o","")</f>
        <v/>
      </c>
      <c r="J104" s="54" t="str">
        <f>if(iferror(match(A104,'March 29 - M3 1006'!G:G,0),FALSE),"o","")</f>
        <v/>
      </c>
      <c r="K104" s="54" t="str">
        <f>if(iferror(match(A104,'March 29 - M3 1006'!L:L,0),FALSE),"o","")</f>
        <v/>
      </c>
      <c r="L104" s="55" t="str">
        <f>if(iferror(match(A104,'March 30 - M3 1006'!B:B,0),FALSE),"o","")</f>
        <v/>
      </c>
      <c r="M104" s="54" t="str">
        <f>if(iferror(match(A104,'March 30 - M3 1006'!G:G,0),FALSE),"o","")</f>
        <v/>
      </c>
      <c r="N104" s="54" t="str">
        <f>if(iferror(match(A104,'March 30 - M3 1006'!L:L,0),FALSE),"o","")</f>
        <v/>
      </c>
    </row>
    <row r="105" ht="22.5" customHeight="1">
      <c r="A105" s="57" t="s">
        <v>201</v>
      </c>
      <c r="B105" s="56">
        <f t="shared" si="1"/>
        <v>2</v>
      </c>
      <c r="C105" s="52" t="str">
        <f>if(iferror(match(A105,'March 22 - RCH 301'!B:B,0),FALSE),"o","")</f>
        <v/>
      </c>
      <c r="D105" s="53" t="str">
        <f>if(iferror(match(A105,'March 22 - RCH 301'!G:G,0),FALSE),"o","")</f>
        <v/>
      </c>
      <c r="E105" s="54" t="str">
        <f>if(iferror(match(A105,'March 22 - RCH 301'!L:L,0),FALSE),"o","")</f>
        <v/>
      </c>
      <c r="F105" s="55" t="str">
        <f>if(iferror(match(A105,'March 23 - M3 1006'!B:B,0),FALSE),"o","")</f>
        <v/>
      </c>
      <c r="G105" s="54" t="str">
        <f>if(iferror(match(A105,'March 23 - M3 1006'!G:G,0),FALSE),"o","")</f>
        <v/>
      </c>
      <c r="H105" s="54" t="str">
        <f>if(iferror(match(A105,'March 23 - M3 1006'!L:L,0),FALSE),"o","")</f>
        <v/>
      </c>
      <c r="I105" s="55" t="str">
        <f>if(iferror(match(A105,'March 29 - M3 1006'!B:B,0),FALSE),"o","")</f>
        <v/>
      </c>
      <c r="J105" s="54" t="str">
        <f>if(iferror(match(A105,'March 29 - M3 1006'!G:G,0),FALSE),"o","")</f>
        <v>o</v>
      </c>
      <c r="K105" s="54" t="str">
        <f>if(iferror(match(A105,'March 29 - M3 1006'!L:L,0),FALSE),"o","")</f>
        <v>o</v>
      </c>
      <c r="L105" s="55" t="str">
        <f>if(iferror(match(A105,'March 30 - M3 1006'!B:B,0),FALSE),"o","")</f>
        <v/>
      </c>
      <c r="M105" s="54" t="str">
        <f>if(iferror(match(A105,'March 30 - M3 1006'!G:G,0),FALSE),"o","")</f>
        <v/>
      </c>
      <c r="N105" s="54" t="str">
        <f>if(iferror(match(A105,'March 30 - M3 1006'!L:L,0),FALSE),"o","")</f>
        <v/>
      </c>
    </row>
    <row r="106" ht="22.5" customHeight="1">
      <c r="A106" s="50" t="s">
        <v>82</v>
      </c>
      <c r="B106" s="56">
        <f t="shared" si="1"/>
        <v>4</v>
      </c>
      <c r="C106" s="52" t="str">
        <f>if(iferror(match(A106,'March 22 - RCH 301'!B:B,0),FALSE),"o","")</f>
        <v/>
      </c>
      <c r="D106" s="53" t="str">
        <f>if(iferror(match(A106,'March 22 - RCH 301'!G:G,0),FALSE),"o","")</f>
        <v>o</v>
      </c>
      <c r="E106" s="54" t="str">
        <f>if(iferror(match(A106,'March 22 - RCH 301'!L:L,0),FALSE),"o","")</f>
        <v>o</v>
      </c>
      <c r="F106" s="55" t="str">
        <f>if(iferror(match(A106,'March 23 - M3 1006'!B:B,0),FALSE),"o","")</f>
        <v/>
      </c>
      <c r="G106" s="54" t="str">
        <f>if(iferror(match(A106,'March 23 - M3 1006'!G:G,0),FALSE),"o","")</f>
        <v>o</v>
      </c>
      <c r="H106" s="54" t="str">
        <f>if(iferror(match(A106,'March 23 - M3 1006'!L:L,0),FALSE),"o","")</f>
        <v>o</v>
      </c>
      <c r="I106" s="55" t="str">
        <f>if(iferror(match(A106,'March 29 - M3 1006'!B:B,0),FALSE),"o","")</f>
        <v/>
      </c>
      <c r="J106" s="54" t="str">
        <f>if(iferror(match(A106,'March 29 - M3 1006'!G:G,0),FALSE),"o","")</f>
        <v/>
      </c>
      <c r="K106" s="54" t="str">
        <f>if(iferror(match(A106,'March 29 - M3 1006'!L:L,0),FALSE),"o","")</f>
        <v/>
      </c>
      <c r="L106" s="55" t="str">
        <f>if(iferror(match(A106,'March 30 - M3 1006'!B:B,0),FALSE),"o","")</f>
        <v/>
      </c>
      <c r="M106" s="54" t="str">
        <f>if(iferror(match(A106,'March 30 - M3 1006'!G:G,0),FALSE),"o","")</f>
        <v/>
      </c>
      <c r="N106" s="54" t="str">
        <f>if(iferror(match(A106,'March 30 - M3 1006'!L:L,0),FALSE),"o","")</f>
        <v/>
      </c>
    </row>
    <row r="107" ht="22.5" customHeight="1">
      <c r="A107" s="50" t="s">
        <v>202</v>
      </c>
      <c r="B107" s="56">
        <f t="shared" si="1"/>
        <v>3</v>
      </c>
      <c r="C107" s="52" t="str">
        <f>if(iferror(match(A107,'March 22 - RCH 301'!B:B,0),FALSE),"o","")</f>
        <v/>
      </c>
      <c r="D107" s="53" t="str">
        <f>if(iferror(match(A107,'March 22 - RCH 301'!G:G,0),FALSE),"o","")</f>
        <v/>
      </c>
      <c r="E107" s="54" t="str">
        <f>if(iferror(match(A107,'March 22 - RCH 301'!L:L,0),FALSE),"o","")</f>
        <v/>
      </c>
      <c r="F107" s="55" t="str">
        <f>if(iferror(match(A107,'March 23 - M3 1006'!B:B,0),FALSE),"o","")</f>
        <v/>
      </c>
      <c r="G107" s="54" t="str">
        <f>if(iferror(match(A107,'March 23 - M3 1006'!G:G,0),FALSE),"o","")</f>
        <v/>
      </c>
      <c r="H107" s="54" t="str">
        <f>if(iferror(match(A107,'March 23 - M3 1006'!L:L,0),FALSE),"o","")</f>
        <v/>
      </c>
      <c r="I107" s="55" t="str">
        <f>if(iferror(match(A107,'March 29 - M3 1006'!B:B,0),FALSE),"o","")</f>
        <v/>
      </c>
      <c r="J107" s="54" t="str">
        <f>if(iferror(match(A107,'March 29 - M3 1006'!G:G,0),FALSE),"o","")</f>
        <v>o</v>
      </c>
      <c r="K107" s="54" t="str">
        <f>if(iferror(match(A107,'March 29 - M3 1006'!L:L,0),FALSE),"o","")</f>
        <v>o</v>
      </c>
      <c r="L107" s="55" t="str">
        <f>if(iferror(match(A107,'March 30 - M3 1006'!B:B,0),FALSE),"o","")</f>
        <v/>
      </c>
      <c r="M107" s="54" t="str">
        <f>if(iferror(match(A107,'March 30 - M3 1006'!G:G,0),FALSE),"o","")</f>
        <v>o</v>
      </c>
      <c r="N107" s="54" t="str">
        <f>if(iferror(match(A107,'March 30 - M3 1006'!L:L,0),FALSE),"o","")</f>
        <v/>
      </c>
    </row>
    <row r="108" ht="22.5" customHeight="1">
      <c r="A108" s="50" t="s">
        <v>151</v>
      </c>
      <c r="B108" s="56">
        <f t="shared" si="1"/>
        <v>5</v>
      </c>
      <c r="C108" s="52" t="str">
        <f>if(iferror(match(A108,'March 22 - RCH 301'!B:B,0),FALSE),"o","")</f>
        <v/>
      </c>
      <c r="D108" s="53" t="str">
        <f>if(iferror(match(A108,'March 22 - RCH 301'!G:G,0),FALSE),"o","")</f>
        <v/>
      </c>
      <c r="E108" s="54" t="str">
        <f>if(iferror(match(A108,'March 22 - RCH 301'!L:L,0),FALSE),"o","")</f>
        <v/>
      </c>
      <c r="F108" s="55" t="str">
        <f>if(iferror(match(A108,'March 23 - M3 1006'!B:B,0),FALSE),"o","")</f>
        <v/>
      </c>
      <c r="G108" s="54" t="str">
        <f>if(iferror(match(A108,'March 23 - M3 1006'!G:G,0),FALSE),"o","")</f>
        <v/>
      </c>
      <c r="H108" s="54" t="str">
        <f>if(iferror(match(A108,'March 23 - M3 1006'!L:L,0),FALSE),"o","")</f>
        <v>o</v>
      </c>
      <c r="I108" s="55" t="str">
        <f>if(iferror(match(A108,'March 29 - M3 1006'!B:B,0),FALSE),"o","")</f>
        <v>o</v>
      </c>
      <c r="J108" s="54" t="str">
        <f>if(iferror(match(A108,'March 29 - M3 1006'!G:G,0),FALSE),"o","")</f>
        <v/>
      </c>
      <c r="K108" s="54" t="str">
        <f>if(iferror(match(A108,'March 29 - M3 1006'!L:L,0),FALSE),"o","")</f>
        <v/>
      </c>
      <c r="L108" s="55" t="str">
        <f>if(iferror(match(A108,'March 30 - M3 1006'!B:B,0),FALSE),"o","")</f>
        <v>o</v>
      </c>
      <c r="M108" s="54" t="str">
        <f>if(iferror(match(A108,'March 30 - M3 1006'!G:G,0),FALSE),"o","")</f>
        <v>o</v>
      </c>
      <c r="N108" s="54" t="str">
        <f>if(iferror(match(A108,'March 30 - M3 1006'!L:L,0),FALSE),"o","")</f>
        <v>o</v>
      </c>
    </row>
    <row r="109" ht="22.5" customHeight="1">
      <c r="A109" s="50" t="s">
        <v>85</v>
      </c>
      <c r="B109" s="56">
        <f t="shared" si="1"/>
        <v>4</v>
      </c>
      <c r="C109" s="52" t="str">
        <f>if(iferror(match(A109,'March 22 - RCH 301'!B:B,0),FALSE),"o","")</f>
        <v>o</v>
      </c>
      <c r="D109" s="53" t="str">
        <f>if(iferror(match(A109,'March 22 - RCH 301'!G:G,0),FALSE),"o","")</f>
        <v>o</v>
      </c>
      <c r="E109" s="54" t="str">
        <f>if(iferror(match(A109,'March 22 - RCH 301'!L:L,0),FALSE),"o","")</f>
        <v>o</v>
      </c>
      <c r="F109" s="55" t="str">
        <f>if(iferror(match(A109,'March 23 - M3 1006'!B:B,0),FALSE),"o","")</f>
        <v/>
      </c>
      <c r="G109" s="54" t="str">
        <f>if(iferror(match(A109,'March 23 - M3 1006'!G:G,0),FALSE),"o","")</f>
        <v/>
      </c>
      <c r="H109" s="54" t="str">
        <f>if(iferror(match(A109,'March 23 - M3 1006'!L:L,0),FALSE),"o","")</f>
        <v>o</v>
      </c>
      <c r="I109" s="55" t="str">
        <f>if(iferror(match(A109,'March 29 - M3 1006'!B:B,0),FALSE),"o","")</f>
        <v/>
      </c>
      <c r="J109" s="54" t="str">
        <f>if(iferror(match(A109,'March 29 - M3 1006'!G:G,0),FALSE),"o","")</f>
        <v/>
      </c>
      <c r="K109" s="54" t="str">
        <f>if(iferror(match(A109,'March 29 - M3 1006'!L:L,0),FALSE),"o","")</f>
        <v/>
      </c>
      <c r="L109" s="55" t="str">
        <f>if(iferror(match(A109,'March 30 - M3 1006'!B:B,0),FALSE),"o","")</f>
        <v/>
      </c>
      <c r="M109" s="54" t="str">
        <f>if(iferror(match(A109,'March 30 - M3 1006'!G:G,0),FALSE),"o","")</f>
        <v/>
      </c>
      <c r="N109" s="54" t="str">
        <f>if(iferror(match(A109,'March 30 - M3 1006'!L:L,0),FALSE),"o","")</f>
        <v/>
      </c>
    </row>
    <row r="110" ht="22.5" customHeight="1">
      <c r="A110" s="50" t="s">
        <v>152</v>
      </c>
      <c r="B110" s="56">
        <f t="shared" si="1"/>
        <v>3</v>
      </c>
      <c r="C110" s="52" t="str">
        <f>if(iferror(match(A110,'March 22 - RCH 301'!B:B,0),FALSE),"o","")</f>
        <v/>
      </c>
      <c r="D110" s="53" t="str">
        <f>if(iferror(match(A110,'March 22 - RCH 301'!G:G,0),FALSE),"o","")</f>
        <v/>
      </c>
      <c r="E110" s="54" t="str">
        <f>if(iferror(match(A110,'March 22 - RCH 301'!L:L,0),FALSE),"o","")</f>
        <v/>
      </c>
      <c r="F110" s="55" t="str">
        <f>if(iferror(match(A110,'March 23 - M3 1006'!B:B,0),FALSE),"o","")</f>
        <v>o</v>
      </c>
      <c r="G110" s="54" t="str">
        <f>if(iferror(match(A110,'March 23 - M3 1006'!G:G,0),FALSE),"o","")</f>
        <v/>
      </c>
      <c r="H110" s="54" t="str">
        <f>if(iferror(match(A110,'March 23 - M3 1006'!L:L,0),FALSE),"o","")</f>
        <v/>
      </c>
      <c r="I110" s="55" t="str">
        <f>if(iferror(match(A110,'March 29 - M3 1006'!B:B,0),FALSE),"o","")</f>
        <v>o</v>
      </c>
      <c r="J110" s="54" t="str">
        <f>if(iferror(match(A110,'March 29 - M3 1006'!G:G,0),FALSE),"o","")</f>
        <v/>
      </c>
      <c r="K110" s="54" t="str">
        <f>if(iferror(match(A110,'March 29 - M3 1006'!L:L,0),FALSE),"o","")</f>
        <v/>
      </c>
      <c r="L110" s="55" t="str">
        <f>if(iferror(match(A110,'March 30 - M3 1006'!B:B,0),FALSE),"o","")</f>
        <v>o</v>
      </c>
      <c r="M110" s="54" t="str">
        <f>if(iferror(match(A110,'March 30 - M3 1006'!G:G,0),FALSE),"o","")</f>
        <v/>
      </c>
      <c r="N110" s="54" t="str">
        <f>if(iferror(match(A110,'March 30 - M3 1006'!L:L,0),FALSE),"o","")</f>
        <v/>
      </c>
    </row>
    <row r="111" ht="22.5" customHeight="1">
      <c r="A111" s="50" t="s">
        <v>206</v>
      </c>
      <c r="B111" s="56">
        <f t="shared" si="1"/>
        <v>4</v>
      </c>
      <c r="C111" s="52" t="str">
        <f>if(iferror(match(A111,'March 22 - RCH 301'!B:B,0),FALSE),"o","")</f>
        <v/>
      </c>
      <c r="D111" s="53" t="str">
        <f>if(iferror(match(A111,'March 22 - RCH 301'!G:G,0),FALSE),"o","")</f>
        <v/>
      </c>
      <c r="E111" s="54" t="str">
        <f>if(iferror(match(A111,'March 22 - RCH 301'!L:L,0),FALSE),"o","")</f>
        <v/>
      </c>
      <c r="F111" s="55" t="str">
        <f>if(iferror(match(A111,'March 23 - M3 1006'!B:B,0),FALSE),"o","")</f>
        <v/>
      </c>
      <c r="G111" s="54" t="str">
        <f>if(iferror(match(A111,'March 23 - M3 1006'!G:G,0),FALSE),"o","")</f>
        <v/>
      </c>
      <c r="H111" s="54" t="str">
        <f>if(iferror(match(A111,'March 23 - M3 1006'!L:L,0),FALSE),"o","")</f>
        <v/>
      </c>
      <c r="I111" s="55" t="str">
        <f>if(iferror(match(A111,'March 29 - M3 1006'!B:B,0),FALSE),"o","")</f>
        <v>o</v>
      </c>
      <c r="J111" s="54" t="str">
        <f>if(iferror(match(A111,'March 29 - M3 1006'!G:G,0),FALSE),"o","")</f>
        <v>o</v>
      </c>
      <c r="K111" s="54" t="str">
        <f>if(iferror(match(A111,'March 29 - M3 1006'!L:L,0),FALSE),"o","")</f>
        <v/>
      </c>
      <c r="L111" s="55" t="str">
        <f>if(iferror(match(A111,'March 30 - M3 1006'!B:B,0),FALSE),"o","")</f>
        <v>o</v>
      </c>
      <c r="M111" s="54" t="str">
        <f>if(iferror(match(A111,'March 30 - M3 1006'!G:G,0),FALSE),"o","")</f>
        <v>o</v>
      </c>
      <c r="N111" s="54" t="str">
        <f>if(iferror(match(A111,'March 30 - M3 1006'!L:L,0),FALSE),"o","")</f>
        <v/>
      </c>
    </row>
    <row r="112" ht="22.5" customHeight="1">
      <c r="A112" s="50" t="s">
        <v>87</v>
      </c>
      <c r="B112" s="56">
        <f t="shared" si="1"/>
        <v>3</v>
      </c>
      <c r="C112" s="52" t="str">
        <f>if(iferror(match(A112,'March 22 - RCH 301'!B:B,0),FALSE),"o","")</f>
        <v/>
      </c>
      <c r="D112" s="53" t="str">
        <f>if(iferror(match(A112,'March 22 - RCH 301'!G:G,0),FALSE),"o","")</f>
        <v/>
      </c>
      <c r="E112" s="54" t="str">
        <f>if(iferror(match(A112,'March 22 - RCH 301'!L:L,0),FALSE),"o","")</f>
        <v>o</v>
      </c>
      <c r="F112" s="55" t="str">
        <f>if(iferror(match(A112,'March 23 - M3 1006'!B:B,0),FALSE),"o","")</f>
        <v/>
      </c>
      <c r="G112" s="54" t="str">
        <f>if(iferror(match(A112,'March 23 - M3 1006'!G:G,0),FALSE),"o","")</f>
        <v/>
      </c>
      <c r="H112" s="54" t="str">
        <f>if(iferror(match(A112,'March 23 - M3 1006'!L:L,0),FALSE),"o","")</f>
        <v/>
      </c>
      <c r="I112" s="55" t="str">
        <f>if(iferror(match(A112,'March 29 - M3 1006'!B:B,0),FALSE),"o","")</f>
        <v/>
      </c>
      <c r="J112" s="54" t="str">
        <f>if(iferror(match(A112,'March 29 - M3 1006'!G:G,0),FALSE),"o","")</f>
        <v>o</v>
      </c>
      <c r="K112" s="54" t="str">
        <f>if(iferror(match(A112,'March 29 - M3 1006'!L:L,0),FALSE),"o","")</f>
        <v>o</v>
      </c>
      <c r="L112" s="55" t="str">
        <f>if(iferror(match(A112,'March 30 - M3 1006'!B:B,0),FALSE),"o","")</f>
        <v/>
      </c>
      <c r="M112" s="54" t="str">
        <f>if(iferror(match(A112,'March 30 - M3 1006'!G:G,0),FALSE),"o","")</f>
        <v/>
      </c>
      <c r="N112" s="54" t="str">
        <f>if(iferror(match(A112,'March 30 - M3 1006'!L:L,0),FALSE),"o","")</f>
        <v/>
      </c>
    </row>
    <row r="113" ht="22.5" customHeight="1">
      <c r="A113" s="50" t="s">
        <v>156</v>
      </c>
      <c r="B113" s="56">
        <f t="shared" si="1"/>
        <v>3</v>
      </c>
      <c r="C113" s="52" t="str">
        <f>if(iferror(match(A113,'March 22 - RCH 301'!B:B,0),FALSE),"o","")</f>
        <v/>
      </c>
      <c r="D113" s="53" t="str">
        <f>if(iferror(match(A113,'March 22 - RCH 301'!G:G,0),FALSE),"o","")</f>
        <v/>
      </c>
      <c r="E113" s="54" t="str">
        <f>if(iferror(match(A113,'March 22 - RCH 301'!L:L,0),FALSE),"o","")</f>
        <v/>
      </c>
      <c r="F113" s="55" t="str">
        <f>if(iferror(match(A113,'March 23 - M3 1006'!B:B,0),FALSE),"o","")</f>
        <v/>
      </c>
      <c r="G113" s="54" t="str">
        <f>if(iferror(match(A113,'March 23 - M3 1006'!G:G,0),FALSE),"o","")</f>
        <v>o</v>
      </c>
      <c r="H113" s="54" t="str">
        <f>if(iferror(match(A113,'March 23 - M3 1006'!L:L,0),FALSE),"o","")</f>
        <v>o</v>
      </c>
      <c r="I113" s="55" t="str">
        <f>if(iferror(match(A113,'March 29 - M3 1006'!B:B,0),FALSE),"o","")</f>
        <v/>
      </c>
      <c r="J113" s="54" t="str">
        <f>if(iferror(match(A113,'March 29 - M3 1006'!G:G,0),FALSE),"o","")</f>
        <v/>
      </c>
      <c r="K113" s="54" t="str">
        <f>if(iferror(match(A113,'March 29 - M3 1006'!L:L,0),FALSE),"o","")</f>
        <v/>
      </c>
      <c r="L113" s="55" t="str">
        <f>if(iferror(match(A113,'March 30 - M3 1006'!B:B,0),FALSE),"o","")</f>
        <v/>
      </c>
      <c r="M113" s="54" t="str">
        <f>if(iferror(match(A113,'March 30 - M3 1006'!G:G,0),FALSE),"o","")</f>
        <v>o</v>
      </c>
      <c r="N113" s="54" t="str">
        <f>if(iferror(match(A113,'March 30 - M3 1006'!L:L,0),FALSE),"o","")</f>
        <v/>
      </c>
    </row>
    <row r="114" ht="22.5" customHeight="1">
      <c r="A114" s="50" t="s">
        <v>204</v>
      </c>
      <c r="B114" s="56">
        <f t="shared" si="1"/>
        <v>3</v>
      </c>
      <c r="C114" s="52" t="str">
        <f>if(iferror(match(A114,'March 22 - RCH 301'!B:B,0),FALSE),"o","")</f>
        <v/>
      </c>
      <c r="D114" s="53" t="str">
        <f>if(iferror(match(A114,'March 22 - RCH 301'!G:G,0),FALSE),"o","")</f>
        <v/>
      </c>
      <c r="E114" s="54" t="str">
        <f>if(iferror(match(A114,'March 22 - RCH 301'!L:L,0),FALSE),"o","")</f>
        <v/>
      </c>
      <c r="F114" s="55" t="str">
        <f>if(iferror(match(A114,'March 23 - M3 1006'!B:B,0),FALSE),"o","")</f>
        <v/>
      </c>
      <c r="G114" s="54" t="str">
        <f>if(iferror(match(A114,'March 23 - M3 1006'!G:G,0),FALSE),"o","")</f>
        <v/>
      </c>
      <c r="H114" s="54" t="str">
        <f>if(iferror(match(A114,'March 23 - M3 1006'!L:L,0),FALSE),"o","")</f>
        <v/>
      </c>
      <c r="I114" s="55" t="str">
        <f>if(iferror(match(A114,'March 29 - M3 1006'!B:B,0),FALSE),"o","")</f>
        <v>o</v>
      </c>
      <c r="J114" s="54" t="str">
        <f>if(iferror(match(A114,'March 29 - M3 1006'!G:G,0),FALSE),"o","")</f>
        <v>o</v>
      </c>
      <c r="K114" s="54" t="str">
        <f>if(iferror(match(A114,'March 29 - M3 1006'!L:L,0),FALSE),"o","")</f>
        <v>o</v>
      </c>
      <c r="L114" s="55" t="str">
        <f>if(iferror(match(A114,'March 30 - M3 1006'!B:B,0),FALSE),"o","")</f>
        <v/>
      </c>
      <c r="M114" s="54" t="str">
        <f>if(iferror(match(A114,'March 30 - M3 1006'!G:G,0),FALSE),"o","")</f>
        <v/>
      </c>
      <c r="N114" s="54" t="str">
        <f>if(iferror(match(A114,'March 30 - M3 1006'!L:L,0),FALSE),"o","")</f>
        <v/>
      </c>
    </row>
    <row r="115" ht="22.5" customHeight="1">
      <c r="A115" s="50" t="s">
        <v>10</v>
      </c>
      <c r="B115" s="56">
        <f t="shared" si="1"/>
        <v>8</v>
      </c>
      <c r="C115" s="52" t="str">
        <f>if(iferror(match(A115,'March 22 - RCH 301'!B:B,0),FALSE),"o","")</f>
        <v>o</v>
      </c>
      <c r="D115" s="53" t="str">
        <f>if(iferror(match(A115,'March 22 - RCH 301'!G:G,0),FALSE),"o","")</f>
        <v>o</v>
      </c>
      <c r="E115" s="54" t="str">
        <f>if(iferror(match(A115,'March 22 - RCH 301'!L:L,0),FALSE),"o","")</f>
        <v>o</v>
      </c>
      <c r="F115" s="55" t="str">
        <f>if(iferror(match(A115,'March 23 - M3 1006'!B:B,0),FALSE),"o","")</f>
        <v/>
      </c>
      <c r="G115" s="54" t="str">
        <f>if(iferror(match(A115,'March 23 - M3 1006'!G:G,0),FALSE),"o","")</f>
        <v/>
      </c>
      <c r="H115" s="54" t="str">
        <f>if(iferror(match(A115,'March 23 - M3 1006'!L:L,0),FALSE),"o","")</f>
        <v>o</v>
      </c>
      <c r="I115" s="55" t="str">
        <f>if(iferror(match(A115,'March 29 - M3 1006'!B:B,0),FALSE),"o","")</f>
        <v>o</v>
      </c>
      <c r="J115" s="54" t="str">
        <f>if(iferror(match(A115,'March 29 - M3 1006'!G:G,0),FALSE),"o","")</f>
        <v>o</v>
      </c>
      <c r="K115" s="54" t="str">
        <f>if(iferror(match(A115,'March 29 - M3 1006'!L:L,0),FALSE),"o","")</f>
        <v>o</v>
      </c>
      <c r="L115" s="55" t="str">
        <f>if(iferror(match(A115,'March 30 - M3 1006'!B:B,0),FALSE),"o","")</f>
        <v/>
      </c>
      <c r="M115" s="54" t="str">
        <f>if(iferror(match(A115,'March 30 - M3 1006'!G:G,0),FALSE),"o","")</f>
        <v/>
      </c>
      <c r="N115" s="54" t="str">
        <f>if(iferror(match(A115,'March 30 - M3 1006'!L:L,0),FALSE),"o","")</f>
        <v>o</v>
      </c>
    </row>
    <row r="116" ht="22.5" customHeight="1">
      <c r="A116" s="50" t="s">
        <v>210</v>
      </c>
      <c r="B116" s="56">
        <f t="shared" si="1"/>
        <v>3</v>
      </c>
      <c r="C116" s="52" t="str">
        <f>if(iferror(match(A116,'March 22 - RCH 301'!B:B,0),FALSE),"o","")</f>
        <v/>
      </c>
      <c r="D116" s="53" t="str">
        <f>if(iferror(match(A116,'March 22 - RCH 301'!G:G,0),FALSE),"o","")</f>
        <v/>
      </c>
      <c r="E116" s="54" t="str">
        <f>if(iferror(match(A116,'March 22 - RCH 301'!L:L,0),FALSE),"o","")</f>
        <v/>
      </c>
      <c r="F116" s="55" t="str">
        <f>if(iferror(match(A116,'March 23 - M3 1006'!B:B,0),FALSE),"o","")</f>
        <v/>
      </c>
      <c r="G116" s="54" t="str">
        <f>if(iferror(match(A116,'March 23 - M3 1006'!G:G,0),FALSE),"o","")</f>
        <v/>
      </c>
      <c r="H116" s="54" t="str">
        <f>if(iferror(match(A116,'March 23 - M3 1006'!L:L,0),FALSE),"o","")</f>
        <v/>
      </c>
      <c r="I116" s="55" t="str">
        <f>if(iferror(match(A116,'March 29 - M3 1006'!B:B,0),FALSE),"o","")</f>
        <v>o</v>
      </c>
      <c r="J116" s="54" t="str">
        <f>if(iferror(match(A116,'March 29 - M3 1006'!G:G,0),FALSE),"o","")</f>
        <v>o</v>
      </c>
      <c r="K116" s="54" t="str">
        <f>if(iferror(match(A116,'March 29 - M3 1006'!L:L,0),FALSE),"o","")</f>
        <v/>
      </c>
      <c r="L116" s="55" t="str">
        <f>if(iferror(match(A116,'March 30 - M3 1006'!B:B,0),FALSE),"o","")</f>
        <v>o</v>
      </c>
      <c r="M116" s="54" t="str">
        <f>if(iferror(match(A116,'March 30 - M3 1006'!G:G,0),FALSE),"o","")</f>
        <v/>
      </c>
      <c r="N116" s="54" t="str">
        <f>if(iferror(match(A116,'March 30 - M3 1006'!L:L,0),FALSE),"o","")</f>
        <v/>
      </c>
    </row>
    <row r="117" ht="22.5" customHeight="1">
      <c r="A117" s="50" t="s">
        <v>116</v>
      </c>
      <c r="B117" s="56">
        <f t="shared" si="1"/>
        <v>3</v>
      </c>
      <c r="C117" s="52" t="str">
        <f>if(iferror(match(A117,'March 22 - RCH 301'!B:B,0),FALSE),"o","")</f>
        <v/>
      </c>
      <c r="D117" s="53" t="str">
        <f>if(iferror(match(A117,'March 22 - RCH 301'!G:G,0),FALSE),"o","")</f>
        <v/>
      </c>
      <c r="E117" s="54" t="str">
        <f>if(iferror(match(A117,'March 22 - RCH 301'!L:L,0),FALSE),"o","")</f>
        <v/>
      </c>
      <c r="F117" s="55" t="str">
        <f>if(iferror(match(A117,'March 23 - M3 1006'!B:B,0),FALSE),"o","")</f>
        <v/>
      </c>
      <c r="G117" s="54" t="str">
        <f>if(iferror(match(A117,'March 23 - M3 1006'!G:G,0),FALSE),"o","")</f>
        <v>o</v>
      </c>
      <c r="H117" s="54" t="str">
        <f>if(iferror(match(A117,'March 23 - M3 1006'!L:L,0),FALSE),"o","")</f>
        <v/>
      </c>
      <c r="I117" s="55" t="str">
        <f>if(iferror(match(A117,'March 29 - M3 1006'!B:B,0),FALSE),"o","")</f>
        <v>o</v>
      </c>
      <c r="J117" s="54" t="str">
        <f>if(iferror(match(A117,'March 29 - M3 1006'!G:G,0),FALSE),"o","")</f>
        <v/>
      </c>
      <c r="K117" s="54" t="str">
        <f>if(iferror(match(A117,'March 29 - M3 1006'!L:L,0),FALSE),"o","")</f>
        <v/>
      </c>
      <c r="L117" s="55" t="str">
        <f>if(iferror(match(A117,'March 30 - M3 1006'!B:B,0),FALSE),"o","")</f>
        <v/>
      </c>
      <c r="M117" s="54" t="str">
        <f>if(iferror(match(A117,'March 30 - M3 1006'!G:G,0),FALSE),"o","")</f>
        <v>o</v>
      </c>
      <c r="N117" s="54" t="str">
        <f>if(iferror(match(A117,'March 30 - M3 1006'!L:L,0),FALSE),"o","")</f>
        <v/>
      </c>
    </row>
    <row r="118" ht="22.5" customHeight="1">
      <c r="A118" s="50" t="s">
        <v>205</v>
      </c>
      <c r="B118" s="56">
        <f t="shared" si="1"/>
        <v>4</v>
      </c>
      <c r="C118" s="52" t="str">
        <f>if(iferror(match(A118,'March 22 - RCH 301'!B:B,0),FALSE),"o","")</f>
        <v/>
      </c>
      <c r="D118" s="53" t="str">
        <f>if(iferror(match(A118,'March 22 - RCH 301'!G:G,0),FALSE),"o","")</f>
        <v/>
      </c>
      <c r="E118" s="54" t="str">
        <f>if(iferror(match(A118,'March 22 - RCH 301'!L:L,0),FALSE),"o","")</f>
        <v/>
      </c>
      <c r="F118" s="55" t="str">
        <f>if(iferror(match(A118,'March 23 - M3 1006'!B:B,0),FALSE),"o","")</f>
        <v/>
      </c>
      <c r="G118" s="54" t="str">
        <f>if(iferror(match(A118,'March 23 - M3 1006'!G:G,0),FALSE),"o","")</f>
        <v/>
      </c>
      <c r="H118" s="54" t="str">
        <f>if(iferror(match(A118,'March 23 - M3 1006'!L:L,0),FALSE),"o","")</f>
        <v/>
      </c>
      <c r="I118" s="55" t="str">
        <f>if(iferror(match(A118,'March 29 - M3 1006'!B:B,0),FALSE),"o","")</f>
        <v/>
      </c>
      <c r="J118" s="54" t="str">
        <f>if(iferror(match(A118,'March 29 - M3 1006'!G:G,0),FALSE),"o","")</f>
        <v>o</v>
      </c>
      <c r="K118" s="54" t="str">
        <f>if(iferror(match(A118,'March 29 - M3 1006'!L:L,0),FALSE),"o","")</f>
        <v>o</v>
      </c>
      <c r="L118" s="55" t="str">
        <f>if(iferror(match(A118,'March 30 - M3 1006'!B:B,0),FALSE),"o","")</f>
        <v/>
      </c>
      <c r="M118" s="54" t="str">
        <f>if(iferror(match(A118,'March 30 - M3 1006'!G:G,0),FALSE),"o","")</f>
        <v>o</v>
      </c>
      <c r="N118" s="54" t="str">
        <f>if(iferror(match(A118,'March 30 - M3 1006'!L:L,0),FALSE),"o","")</f>
        <v>o</v>
      </c>
    </row>
    <row r="119" ht="22.5" customHeight="1">
      <c r="A119" s="50" t="s">
        <v>78</v>
      </c>
      <c r="B119" s="56">
        <f t="shared" si="1"/>
        <v>3</v>
      </c>
      <c r="C119" s="52" t="str">
        <f>if(iferror(match(A119,'March 22 - RCH 301'!B:B,0),FALSE),"o","")</f>
        <v>o</v>
      </c>
      <c r="D119" s="53" t="str">
        <f>if(iferror(match(A119,'March 22 - RCH 301'!G:G,0),FALSE),"o","")</f>
        <v>o</v>
      </c>
      <c r="E119" s="54" t="str">
        <f>if(iferror(match(A119,'March 22 - RCH 301'!L:L,0),FALSE),"o","")</f>
        <v>o</v>
      </c>
      <c r="F119" s="55" t="str">
        <f>if(iferror(match(A119,'March 23 - M3 1006'!B:B,0),FALSE),"o","")</f>
        <v/>
      </c>
      <c r="G119" s="54" t="str">
        <f>if(iferror(match(A119,'March 23 - M3 1006'!G:G,0),FALSE),"o","")</f>
        <v/>
      </c>
      <c r="H119" s="54" t="str">
        <f>if(iferror(match(A119,'March 23 - M3 1006'!L:L,0),FALSE),"o","")</f>
        <v/>
      </c>
      <c r="I119" s="55" t="str">
        <f>if(iferror(match(A119,'March 29 - M3 1006'!B:B,0),FALSE),"o","")</f>
        <v/>
      </c>
      <c r="J119" s="54" t="str">
        <f>if(iferror(match(A119,'March 29 - M3 1006'!G:G,0),FALSE),"o","")</f>
        <v/>
      </c>
      <c r="K119" s="54" t="str">
        <f>if(iferror(match(A119,'March 29 - M3 1006'!L:L,0),FALSE),"o","")</f>
        <v/>
      </c>
      <c r="L119" s="55" t="str">
        <f>if(iferror(match(A119,'March 30 - M3 1006'!B:B,0),FALSE),"o","")</f>
        <v/>
      </c>
      <c r="M119" s="54" t="str">
        <f>if(iferror(match(A119,'March 30 - M3 1006'!G:G,0),FALSE),"o","")</f>
        <v/>
      </c>
      <c r="N119" s="54" t="str">
        <f>if(iferror(match(A119,'March 30 - M3 1006'!L:L,0),FALSE),"o","")</f>
        <v/>
      </c>
    </row>
    <row r="120" ht="22.5" customHeight="1">
      <c r="A120" s="50" t="s">
        <v>97</v>
      </c>
      <c r="B120" s="56">
        <f t="shared" si="1"/>
        <v>4</v>
      </c>
      <c r="C120" s="52" t="str">
        <f>if(iferror(match(A120,'March 22 - RCH 301'!B:B,0),FALSE),"o","")</f>
        <v>o</v>
      </c>
      <c r="D120" s="53" t="str">
        <f>if(iferror(match(A120,'March 22 - RCH 301'!G:G,0),FALSE),"o","")</f>
        <v>o</v>
      </c>
      <c r="E120" s="54" t="str">
        <f>if(iferror(match(A120,'March 22 - RCH 301'!L:L,0),FALSE),"o","")</f>
        <v/>
      </c>
      <c r="F120" s="55" t="str">
        <f>if(iferror(match(A120,'March 23 - M3 1006'!B:B,0),FALSE),"o","")</f>
        <v/>
      </c>
      <c r="G120" s="54" t="str">
        <f>if(iferror(match(A120,'March 23 - M3 1006'!G:G,0),FALSE),"o","")</f>
        <v/>
      </c>
      <c r="H120" s="54" t="str">
        <f>if(iferror(match(A120,'March 23 - M3 1006'!L:L,0),FALSE),"o","")</f>
        <v/>
      </c>
      <c r="I120" s="55" t="str">
        <f>if(iferror(match(A120,'March 29 - M3 1006'!B:B,0),FALSE),"o","")</f>
        <v>o</v>
      </c>
      <c r="J120" s="54" t="str">
        <f>if(iferror(match(A120,'March 29 - M3 1006'!G:G,0),FALSE),"o","")</f>
        <v>o</v>
      </c>
      <c r="K120" s="54" t="str">
        <f>if(iferror(match(A120,'March 29 - M3 1006'!L:L,0),FALSE),"o","")</f>
        <v/>
      </c>
      <c r="L120" s="55" t="str">
        <f>if(iferror(match(A120,'March 30 - M3 1006'!B:B,0),FALSE),"o","")</f>
        <v/>
      </c>
      <c r="M120" s="54" t="str">
        <f>if(iferror(match(A120,'March 30 - M3 1006'!G:G,0),FALSE),"o","")</f>
        <v/>
      </c>
      <c r="N120" s="54" t="str">
        <f>if(iferror(match(A120,'March 30 - M3 1006'!L:L,0),FALSE),"o","")</f>
        <v/>
      </c>
    </row>
    <row r="121" ht="22.5" customHeight="1">
      <c r="A121" s="50" t="s">
        <v>103</v>
      </c>
      <c r="B121" s="56">
        <f t="shared" si="1"/>
        <v>4</v>
      </c>
      <c r="C121" s="52" t="str">
        <f>if(iferror(match(A121,'March 22 - RCH 301'!B:B,0),FALSE),"o","")</f>
        <v>o</v>
      </c>
      <c r="D121" s="53" t="str">
        <f>if(iferror(match(A121,'March 22 - RCH 301'!G:G,0),FALSE),"o","")</f>
        <v/>
      </c>
      <c r="E121" s="54" t="str">
        <f>if(iferror(match(A121,'March 22 - RCH 301'!L:L,0),FALSE),"o","")</f>
        <v/>
      </c>
      <c r="F121" s="55" t="str">
        <f>if(iferror(match(A121,'March 23 - M3 1006'!B:B,0),FALSE),"o","")</f>
        <v>o</v>
      </c>
      <c r="G121" s="54" t="str">
        <f>if(iferror(match(A121,'March 23 - M3 1006'!G:G,0),FALSE),"o","")</f>
        <v/>
      </c>
      <c r="H121" s="54" t="str">
        <f>if(iferror(match(A121,'March 23 - M3 1006'!L:L,0),FALSE),"o","")</f>
        <v/>
      </c>
      <c r="I121" s="55" t="str">
        <f>if(iferror(match(A121,'March 29 - M3 1006'!B:B,0),FALSE),"o","")</f>
        <v>o</v>
      </c>
      <c r="J121" s="54" t="str">
        <f>if(iferror(match(A121,'March 29 - M3 1006'!G:G,0),FALSE),"o","")</f>
        <v/>
      </c>
      <c r="K121" s="54" t="str">
        <f>if(iferror(match(A121,'March 29 - M3 1006'!L:L,0),FALSE),"o","")</f>
        <v/>
      </c>
      <c r="L121" s="55" t="str">
        <f>if(iferror(match(A121,'March 30 - M3 1006'!B:B,0),FALSE),"o","")</f>
        <v/>
      </c>
      <c r="M121" s="54" t="str">
        <f>if(iferror(match(A121,'March 30 - M3 1006'!G:G,0),FALSE),"o","")</f>
        <v>o</v>
      </c>
      <c r="N121" s="54" t="str">
        <f>if(iferror(match(A121,'March 30 - M3 1006'!L:L,0),FALSE),"o","")</f>
        <v/>
      </c>
    </row>
    <row r="122" ht="22.5" customHeight="1">
      <c r="A122" s="50" t="s">
        <v>213</v>
      </c>
      <c r="B122" s="56">
        <f t="shared" si="1"/>
        <v>3</v>
      </c>
      <c r="C122" s="52" t="str">
        <f>if(iferror(match(A122,'March 22 - RCH 301'!B:B,0),FALSE),"o","")</f>
        <v/>
      </c>
      <c r="D122" s="53" t="str">
        <f>if(iferror(match(A122,'March 22 - RCH 301'!G:G,0),FALSE),"o","")</f>
        <v/>
      </c>
      <c r="E122" s="54" t="str">
        <f>if(iferror(match(A122,'March 22 - RCH 301'!L:L,0),FALSE),"o","")</f>
        <v/>
      </c>
      <c r="F122" s="55" t="str">
        <f>if(iferror(match(A122,'March 23 - M3 1006'!B:B,0),FALSE),"o","")</f>
        <v/>
      </c>
      <c r="G122" s="54" t="str">
        <f>if(iferror(match(A122,'March 23 - M3 1006'!G:G,0),FALSE),"o","")</f>
        <v/>
      </c>
      <c r="H122" s="54" t="str">
        <f>if(iferror(match(A122,'March 23 - M3 1006'!L:L,0),FALSE),"o","")</f>
        <v/>
      </c>
      <c r="I122" s="55" t="str">
        <f>if(iferror(match(A122,'March 29 - M3 1006'!B:B,0),FALSE),"o","")</f>
        <v/>
      </c>
      <c r="J122" s="54" t="str">
        <f>if(iferror(match(A122,'March 29 - M3 1006'!G:G,0),FALSE),"o","")</f>
        <v>o</v>
      </c>
      <c r="K122" s="54" t="str">
        <f>if(iferror(match(A122,'March 29 - M3 1006'!L:L,0),FALSE),"o","")</f>
        <v>o</v>
      </c>
      <c r="L122" s="55" t="str">
        <f>if(iferror(match(A122,'March 30 - M3 1006'!B:B,0),FALSE),"o","")</f>
        <v/>
      </c>
      <c r="M122" s="54" t="str">
        <f>if(iferror(match(A122,'March 30 - M3 1006'!G:G,0),FALSE),"o","")</f>
        <v>o</v>
      </c>
      <c r="N122" s="54" t="str">
        <f>if(iferror(match(A122,'March 30 - M3 1006'!L:L,0),FALSE),"o","")</f>
        <v/>
      </c>
    </row>
    <row r="123" ht="22.5" customHeight="1">
      <c r="A123" s="50" t="s">
        <v>84</v>
      </c>
      <c r="B123" s="56">
        <f t="shared" si="1"/>
        <v>3</v>
      </c>
      <c r="C123" s="52" t="str">
        <f>if(iferror(match(A123,'March 22 - RCH 301'!B:B,0),FALSE),"o","")</f>
        <v>o</v>
      </c>
      <c r="D123" s="53" t="str">
        <f>if(iferror(match(A123,'March 22 - RCH 301'!G:G,0),FALSE),"o","")</f>
        <v/>
      </c>
      <c r="E123" s="54" t="str">
        <f>if(iferror(match(A123,'March 22 - RCH 301'!L:L,0),FALSE),"o","")</f>
        <v/>
      </c>
      <c r="F123" s="55" t="str">
        <f>if(iferror(match(A123,'March 23 - M3 1006'!B:B,0),FALSE),"o","")</f>
        <v>o</v>
      </c>
      <c r="G123" s="54" t="str">
        <f>if(iferror(match(A123,'March 23 - M3 1006'!G:G,0),FALSE),"o","")</f>
        <v>o</v>
      </c>
      <c r="H123" s="54" t="str">
        <f>if(iferror(match(A123,'March 23 - M3 1006'!L:L,0),FALSE),"o","")</f>
        <v/>
      </c>
      <c r="I123" s="55" t="str">
        <f>if(iferror(match(A123,'March 29 - M3 1006'!B:B,0),FALSE),"o","")</f>
        <v/>
      </c>
      <c r="J123" s="54" t="str">
        <f>if(iferror(match(A123,'March 29 - M3 1006'!G:G,0),FALSE),"o","")</f>
        <v/>
      </c>
      <c r="K123" s="54" t="str">
        <f>if(iferror(match(A123,'March 29 - M3 1006'!L:L,0),FALSE),"o","")</f>
        <v/>
      </c>
      <c r="L123" s="55" t="str">
        <f>if(iferror(match(A123,'March 30 - M3 1006'!B:B,0),FALSE),"o","")</f>
        <v/>
      </c>
      <c r="M123" s="54" t="str">
        <f>if(iferror(match(A123,'March 30 - M3 1006'!G:G,0),FALSE),"o","")</f>
        <v/>
      </c>
      <c r="N123" s="54" t="str">
        <f>if(iferror(match(A123,'March 30 - M3 1006'!L:L,0),FALSE),"o","")</f>
        <v/>
      </c>
    </row>
    <row r="124" ht="22.5" customHeight="1">
      <c r="A124" s="50" t="s">
        <v>72</v>
      </c>
      <c r="B124" s="56">
        <f t="shared" si="1"/>
        <v>3</v>
      </c>
      <c r="C124" s="52" t="str">
        <f>if(iferror(match(A124,'March 22 - RCH 301'!B:B,0),FALSE),"o","")</f>
        <v/>
      </c>
      <c r="D124" s="53" t="str">
        <f>if(iferror(match(A124,'March 22 - RCH 301'!G:G,0),FALSE),"o","")</f>
        <v/>
      </c>
      <c r="E124" s="54" t="str">
        <f>if(iferror(match(A124,'March 22 - RCH 301'!L:L,0),FALSE),"o","")</f>
        <v>o</v>
      </c>
      <c r="F124" s="55" t="str">
        <f>if(iferror(match(A124,'March 23 - M3 1006'!B:B,0),FALSE),"o","")</f>
        <v>o</v>
      </c>
      <c r="G124" s="54" t="str">
        <f>if(iferror(match(A124,'March 23 - M3 1006'!G:G,0),FALSE),"o","")</f>
        <v/>
      </c>
      <c r="H124" s="54" t="str">
        <f>if(iferror(match(A124,'March 23 - M3 1006'!L:L,0),FALSE),"o","")</f>
        <v>o</v>
      </c>
      <c r="I124" s="55" t="str">
        <f>if(iferror(match(A124,'March 29 - M3 1006'!B:B,0),FALSE),"o","")</f>
        <v/>
      </c>
      <c r="J124" s="54" t="str">
        <f>if(iferror(match(A124,'March 29 - M3 1006'!G:G,0),FALSE),"o","")</f>
        <v/>
      </c>
      <c r="K124" s="54" t="str">
        <f>if(iferror(match(A124,'March 29 - M3 1006'!L:L,0),FALSE),"o","")</f>
        <v/>
      </c>
      <c r="L124" s="55" t="str">
        <f>if(iferror(match(A124,'March 30 - M3 1006'!B:B,0),FALSE),"o","")</f>
        <v/>
      </c>
      <c r="M124" s="54" t="str">
        <f>if(iferror(match(A124,'March 30 - M3 1006'!G:G,0),FALSE),"o","")</f>
        <v/>
      </c>
      <c r="N124" s="54" t="str">
        <f>if(iferror(match(A124,'March 30 - M3 1006'!L:L,0),FALSE),"o","")</f>
        <v/>
      </c>
    </row>
    <row r="125" ht="22.5" customHeight="1">
      <c r="A125" s="50" t="s">
        <v>83</v>
      </c>
      <c r="B125" s="56">
        <f t="shared" si="1"/>
        <v>3</v>
      </c>
      <c r="C125" s="52" t="str">
        <f>if(iferror(match(A125,'March 22 - RCH 301'!B:B,0),FALSE),"o","")</f>
        <v>o</v>
      </c>
      <c r="D125" s="53" t="str">
        <f>if(iferror(match(A125,'March 22 - RCH 301'!G:G,0),FALSE),"o","")</f>
        <v>o</v>
      </c>
      <c r="E125" s="54" t="str">
        <f>if(iferror(match(A125,'March 22 - RCH 301'!L:L,0),FALSE),"o","")</f>
        <v>o</v>
      </c>
      <c r="F125" s="55" t="str">
        <f>if(iferror(match(A125,'March 23 - M3 1006'!B:B,0),FALSE),"o","")</f>
        <v/>
      </c>
      <c r="G125" s="54" t="str">
        <f>if(iferror(match(A125,'March 23 - M3 1006'!G:G,0),FALSE),"o","")</f>
        <v/>
      </c>
      <c r="H125" s="54" t="str">
        <f>if(iferror(match(A125,'March 23 - M3 1006'!L:L,0),FALSE),"o","")</f>
        <v/>
      </c>
      <c r="I125" s="55" t="str">
        <f>if(iferror(match(A125,'March 29 - M3 1006'!B:B,0),FALSE),"o","")</f>
        <v/>
      </c>
      <c r="J125" s="54" t="str">
        <f>if(iferror(match(A125,'March 29 - M3 1006'!G:G,0),FALSE),"o","")</f>
        <v/>
      </c>
      <c r="K125" s="54" t="str">
        <f>if(iferror(match(A125,'March 29 - M3 1006'!L:L,0),FALSE),"o","")</f>
        <v/>
      </c>
      <c r="L125" s="55" t="str">
        <f>if(iferror(match(A125,'March 30 - M3 1006'!B:B,0),FALSE),"o","")</f>
        <v/>
      </c>
      <c r="M125" s="54" t="str">
        <f>if(iferror(match(A125,'March 30 - M3 1006'!G:G,0),FALSE),"o","")</f>
        <v/>
      </c>
      <c r="N125" s="54" t="str">
        <f>if(iferror(match(A125,'March 30 - M3 1006'!L:L,0),FALSE),"o","")</f>
        <v/>
      </c>
    </row>
    <row r="126" ht="22.5" customHeight="1">
      <c r="A126" s="50" t="s">
        <v>106</v>
      </c>
      <c r="B126" s="56">
        <f t="shared" si="1"/>
        <v>3</v>
      </c>
      <c r="C126" s="52" t="str">
        <f>if(iferror(match(A126,'March 22 - RCH 301'!B:B,0),FALSE),"o","")</f>
        <v>o</v>
      </c>
      <c r="D126" s="53" t="str">
        <f>if(iferror(match(A126,'March 22 - RCH 301'!G:G,0),FALSE),"o","")</f>
        <v/>
      </c>
      <c r="E126" s="54" t="str">
        <f>if(iferror(match(A126,'March 22 - RCH 301'!L:L,0),FALSE),"o","")</f>
        <v/>
      </c>
      <c r="F126" s="55" t="str">
        <f>if(iferror(match(A126,'March 23 - M3 1006'!B:B,0),FALSE),"o","")</f>
        <v/>
      </c>
      <c r="G126" s="54" t="str">
        <f>if(iferror(match(A126,'March 23 - M3 1006'!G:G,0),FALSE),"o","")</f>
        <v/>
      </c>
      <c r="H126" s="54" t="str">
        <f>if(iferror(match(A126,'March 23 - M3 1006'!L:L,0),FALSE),"o","")</f>
        <v/>
      </c>
      <c r="I126" s="55" t="str">
        <f>if(iferror(match(A126,'March 29 - M3 1006'!B:B,0),FALSE),"o","")</f>
        <v/>
      </c>
      <c r="J126" s="54" t="str">
        <f>if(iferror(match(A126,'March 29 - M3 1006'!G:G,0),FALSE),"o","")</f>
        <v>o</v>
      </c>
      <c r="K126" s="54" t="str">
        <f>if(iferror(match(A126,'March 29 - M3 1006'!L:L,0),FALSE),"o","")</f>
        <v/>
      </c>
      <c r="L126" s="55" t="str">
        <f>if(iferror(match(A126,'March 30 - M3 1006'!B:B,0),FALSE),"o","")</f>
        <v>o</v>
      </c>
      <c r="M126" s="54" t="str">
        <f>if(iferror(match(A126,'March 30 - M3 1006'!G:G,0),FALSE),"o","")</f>
        <v/>
      </c>
      <c r="N126" s="54" t="str">
        <f>if(iferror(match(A126,'March 30 - M3 1006'!L:L,0),FALSE),"o","")</f>
        <v/>
      </c>
    </row>
    <row r="127" ht="22.5" customHeight="1">
      <c r="A127" s="50" t="s">
        <v>58</v>
      </c>
      <c r="B127" s="56">
        <f t="shared" si="1"/>
        <v>3</v>
      </c>
      <c r="C127" s="52" t="str">
        <f>if(iferror(match(A127,'March 22 - RCH 301'!B:B,0),FALSE),"o","")</f>
        <v>o</v>
      </c>
      <c r="D127" s="53" t="str">
        <f>if(iferror(match(A127,'March 22 - RCH 301'!G:G,0),FALSE),"o","")</f>
        <v>o</v>
      </c>
      <c r="E127" s="54" t="str">
        <f>if(iferror(match(A127,'March 22 - RCH 301'!L:L,0),FALSE),"o","")</f>
        <v/>
      </c>
      <c r="F127" s="55" t="str">
        <f>if(iferror(match(A127,'March 23 - M3 1006'!B:B,0),FALSE),"o","")</f>
        <v>o</v>
      </c>
      <c r="G127" s="54" t="str">
        <f>if(iferror(match(A127,'March 23 - M3 1006'!G:G,0),FALSE),"o","")</f>
        <v/>
      </c>
      <c r="H127" s="54" t="str">
        <f>if(iferror(match(A127,'March 23 - M3 1006'!L:L,0),FALSE),"o","")</f>
        <v/>
      </c>
      <c r="I127" s="55" t="str">
        <f>if(iferror(match(A127,'March 29 - M3 1006'!B:B,0),FALSE),"o","")</f>
        <v/>
      </c>
      <c r="J127" s="54" t="str">
        <f>if(iferror(match(A127,'March 29 - M3 1006'!G:G,0),FALSE),"o","")</f>
        <v/>
      </c>
      <c r="K127" s="54" t="str">
        <f>if(iferror(match(A127,'March 29 - M3 1006'!L:L,0),FALSE),"o","")</f>
        <v/>
      </c>
      <c r="L127" s="55" t="str">
        <f>if(iferror(match(A127,'March 30 - M3 1006'!B:B,0),FALSE),"o","")</f>
        <v/>
      </c>
      <c r="M127" s="54" t="str">
        <f>if(iferror(match(A127,'March 30 - M3 1006'!G:G,0),FALSE),"o","")</f>
        <v/>
      </c>
      <c r="N127" s="54" t="str">
        <f>if(iferror(match(A127,'March 30 - M3 1006'!L:L,0),FALSE),"o","")</f>
        <v/>
      </c>
    </row>
    <row r="128" ht="22.5" customHeight="1">
      <c r="A128" s="50" t="s">
        <v>65</v>
      </c>
      <c r="B128" s="56">
        <f t="shared" si="1"/>
        <v>3</v>
      </c>
      <c r="C128" s="52" t="str">
        <f>if(iferror(match(A128,'March 22 - RCH 301'!B:B,0),FALSE),"o","")</f>
        <v>o</v>
      </c>
      <c r="D128" s="53" t="str">
        <f>if(iferror(match(A128,'March 22 - RCH 301'!G:G,0),FALSE),"o","")</f>
        <v>o</v>
      </c>
      <c r="E128" s="54" t="str">
        <f>if(iferror(match(A128,'March 22 - RCH 301'!L:L,0),FALSE),"o","")</f>
        <v>o</v>
      </c>
      <c r="F128" s="55" t="str">
        <f>if(iferror(match(A128,'March 23 - M3 1006'!B:B,0),FALSE),"o","")</f>
        <v/>
      </c>
      <c r="G128" s="54" t="str">
        <f>if(iferror(match(A128,'March 23 - M3 1006'!G:G,0),FALSE),"o","")</f>
        <v/>
      </c>
      <c r="H128" s="54" t="str">
        <f>if(iferror(match(A128,'March 23 - M3 1006'!L:L,0),FALSE),"o","")</f>
        <v/>
      </c>
      <c r="I128" s="55" t="str">
        <f>if(iferror(match(A128,'March 29 - M3 1006'!B:B,0),FALSE),"o","")</f>
        <v/>
      </c>
      <c r="J128" s="54" t="str">
        <f>if(iferror(match(A128,'March 29 - M3 1006'!G:G,0),FALSE),"o","")</f>
        <v/>
      </c>
      <c r="K128" s="54" t="str">
        <f>if(iferror(match(A128,'March 29 - M3 1006'!L:L,0),FALSE),"o","")</f>
        <v/>
      </c>
      <c r="L128" s="55" t="str">
        <f>if(iferror(match(A128,'March 30 - M3 1006'!B:B,0),FALSE),"o","")</f>
        <v/>
      </c>
      <c r="M128" s="54" t="str">
        <f>if(iferror(match(A128,'March 30 - M3 1006'!G:G,0),FALSE),"o","")</f>
        <v/>
      </c>
      <c r="N128" s="54" t="str">
        <f>if(iferror(match(A128,'March 30 - M3 1006'!L:L,0),FALSE),"o","")</f>
        <v/>
      </c>
    </row>
    <row r="129" ht="22.5" customHeight="1">
      <c r="A129" s="50" t="s">
        <v>93</v>
      </c>
      <c r="B129" s="56">
        <f t="shared" si="1"/>
        <v>4</v>
      </c>
      <c r="C129" s="52" t="str">
        <f>if(iferror(match(A129,'March 22 - RCH 301'!B:B,0),FALSE),"o","")</f>
        <v/>
      </c>
      <c r="D129" s="53" t="str">
        <f>if(iferror(match(A129,'March 22 - RCH 301'!G:G,0),FALSE),"o","")</f>
        <v>o</v>
      </c>
      <c r="E129" s="54" t="str">
        <f>if(iferror(match(A129,'March 22 - RCH 301'!L:L,0),FALSE),"o","")</f>
        <v>o</v>
      </c>
      <c r="F129" s="55" t="str">
        <f>if(iferror(match(A129,'March 23 - M3 1006'!B:B,0),FALSE),"o","")</f>
        <v/>
      </c>
      <c r="G129" s="54" t="str">
        <f>if(iferror(match(A129,'March 23 - M3 1006'!G:G,0),FALSE),"o","")</f>
        <v/>
      </c>
      <c r="H129" s="54" t="str">
        <f>if(iferror(match(A129,'March 23 - M3 1006'!L:L,0),FALSE),"o","")</f>
        <v/>
      </c>
      <c r="I129" s="55" t="str">
        <f>if(iferror(match(A129,'March 29 - M3 1006'!B:B,0),FALSE),"o","")</f>
        <v/>
      </c>
      <c r="J129" s="54" t="str">
        <f>if(iferror(match(A129,'March 29 - M3 1006'!G:G,0),FALSE),"o","")</f>
        <v>o</v>
      </c>
      <c r="K129" s="54" t="str">
        <f>if(iferror(match(A129,'March 29 - M3 1006'!L:L,0),FALSE),"o","")</f>
        <v>o</v>
      </c>
      <c r="L129" s="55" t="str">
        <f>if(iferror(match(A129,'March 30 - M3 1006'!B:B,0),FALSE),"o","")</f>
        <v/>
      </c>
      <c r="M129" s="54" t="str">
        <f>if(iferror(match(A129,'March 30 - M3 1006'!G:G,0),FALSE),"o","")</f>
        <v/>
      </c>
      <c r="N129" s="54" t="str">
        <f>if(iferror(match(A129,'March 30 - M3 1006'!L:L,0),FALSE),"o","")</f>
        <v/>
      </c>
    </row>
    <row r="130" ht="22.5" customHeight="1">
      <c r="A130" s="50" t="s">
        <v>226</v>
      </c>
      <c r="B130" s="56">
        <f t="shared" si="1"/>
        <v>3</v>
      </c>
      <c r="C130" s="52" t="str">
        <f>if(iferror(match(A130,'March 22 - RCH 301'!B:B,0),FALSE),"o","")</f>
        <v/>
      </c>
      <c r="D130" s="53" t="str">
        <f>if(iferror(match(A130,'March 22 - RCH 301'!G:G,0),FALSE),"o","")</f>
        <v/>
      </c>
      <c r="E130" s="54" t="str">
        <f>if(iferror(match(A130,'March 22 - RCH 301'!L:L,0),FALSE),"o","")</f>
        <v/>
      </c>
      <c r="F130" s="55" t="str">
        <f>if(iferror(match(A130,'March 23 - M3 1006'!B:B,0),FALSE),"o","")</f>
        <v/>
      </c>
      <c r="G130" s="54" t="str">
        <f>if(iferror(match(A130,'March 23 - M3 1006'!G:G,0),FALSE),"o","")</f>
        <v/>
      </c>
      <c r="H130" s="54" t="str">
        <f>if(iferror(match(A130,'March 23 - M3 1006'!L:L,0),FALSE),"o","")</f>
        <v/>
      </c>
      <c r="I130" s="55" t="str">
        <f>if(iferror(match(A130,'March 29 - M3 1006'!B:B,0),FALSE),"o","")</f>
        <v/>
      </c>
      <c r="J130" s="54" t="str">
        <f>if(iferror(match(A130,'March 29 - M3 1006'!G:G,0),FALSE),"o","")</f>
        <v/>
      </c>
      <c r="K130" s="54" t="str">
        <f>if(iferror(match(A130,'March 29 - M3 1006'!L:L,0),FALSE),"o","")</f>
        <v/>
      </c>
      <c r="L130" s="55" t="str">
        <f>if(iferror(match(A130,'March 30 - M3 1006'!B:B,0),FALSE),"o","")</f>
        <v>o</v>
      </c>
      <c r="M130" s="54" t="str">
        <f>if(iferror(match(A130,'March 30 - M3 1006'!G:G,0),FALSE),"o","")</f>
        <v>o</v>
      </c>
      <c r="N130" s="54" t="str">
        <f>if(iferror(match(A130,'March 30 - M3 1006'!L:L,0),FALSE),"o","")</f>
        <v>o</v>
      </c>
    </row>
    <row r="131" ht="22.5" customHeight="1">
      <c r="A131" s="50" t="s">
        <v>167</v>
      </c>
      <c r="B131" s="56">
        <f t="shared" si="1"/>
        <v>3</v>
      </c>
      <c r="C131" s="52" t="str">
        <f>if(iferror(match(A131,'March 22 - RCH 301'!B:B,0),FALSE),"o","")</f>
        <v/>
      </c>
      <c r="D131" s="53" t="str">
        <f>if(iferror(match(A131,'March 22 - RCH 301'!G:G,0),FALSE),"o","")</f>
        <v/>
      </c>
      <c r="E131" s="54" t="str">
        <f>if(iferror(match(A131,'March 22 - RCH 301'!L:L,0),FALSE),"o","")</f>
        <v/>
      </c>
      <c r="F131" s="55" t="str">
        <f>if(iferror(match(A131,'March 23 - M3 1006'!B:B,0),FALSE),"o","")</f>
        <v/>
      </c>
      <c r="G131" s="54" t="str">
        <f>if(iferror(match(A131,'March 23 - M3 1006'!G:G,0),FALSE),"o","")</f>
        <v>o</v>
      </c>
      <c r="H131" s="54" t="str">
        <f>if(iferror(match(A131,'March 23 - M3 1006'!L:L,0),FALSE),"o","")</f>
        <v/>
      </c>
      <c r="I131" s="55" t="str">
        <f>if(iferror(match(A131,'March 29 - M3 1006'!B:B,0),FALSE),"o","")</f>
        <v/>
      </c>
      <c r="J131" s="54" t="str">
        <f>if(iferror(match(A131,'March 29 - M3 1006'!G:G,0),FALSE),"o","")</f>
        <v>o</v>
      </c>
      <c r="K131" s="54" t="str">
        <f>if(iferror(match(A131,'March 29 - M3 1006'!L:L,0),FALSE),"o","")</f>
        <v/>
      </c>
      <c r="L131" s="55" t="str">
        <f>if(iferror(match(A131,'March 30 - M3 1006'!B:B,0),FALSE),"o","")</f>
        <v/>
      </c>
      <c r="M131" s="54" t="str">
        <f>if(iferror(match(A131,'March 30 - M3 1006'!G:G,0),FALSE),"o","")</f>
        <v>o</v>
      </c>
      <c r="N131" s="54" t="str">
        <f>if(iferror(match(A131,'March 30 - M3 1006'!L:L,0),FALSE),"o","")</f>
        <v/>
      </c>
    </row>
    <row r="132" ht="22.5" customHeight="1">
      <c r="A132" s="50" t="s">
        <v>107</v>
      </c>
      <c r="B132" s="56">
        <f t="shared" si="1"/>
        <v>4</v>
      </c>
      <c r="C132" s="52" t="str">
        <f>if(iferror(match(A132,'March 22 - RCH 301'!B:B,0),FALSE),"o","")</f>
        <v/>
      </c>
      <c r="D132" s="53" t="str">
        <f>if(iferror(match(A132,'March 22 - RCH 301'!G:G,0),FALSE),"o","")</f>
        <v>o</v>
      </c>
      <c r="E132" s="54" t="str">
        <f>if(iferror(match(A132,'March 22 - RCH 301'!L:L,0),FALSE),"o","")</f>
        <v/>
      </c>
      <c r="F132" s="55" t="str">
        <f>if(iferror(match(A132,'March 23 - M3 1006'!B:B,0),FALSE),"o","")</f>
        <v/>
      </c>
      <c r="G132" s="54" t="str">
        <f>if(iferror(match(A132,'March 23 - M3 1006'!G:G,0),FALSE),"o","")</f>
        <v>o</v>
      </c>
      <c r="H132" s="54" t="str">
        <f>if(iferror(match(A132,'March 23 - M3 1006'!L:L,0),FALSE),"o","")</f>
        <v/>
      </c>
      <c r="I132" s="55" t="str">
        <f>if(iferror(match(A132,'March 29 - M3 1006'!B:B,0),FALSE),"o","")</f>
        <v/>
      </c>
      <c r="J132" s="54" t="str">
        <f>if(iferror(match(A132,'March 29 - M3 1006'!G:G,0),FALSE),"o","")</f>
        <v>o</v>
      </c>
      <c r="K132" s="54" t="str">
        <f>if(iferror(match(A132,'March 29 - M3 1006'!L:L,0),FALSE),"o","")</f>
        <v/>
      </c>
      <c r="L132" s="55" t="str">
        <f>if(iferror(match(A132,'March 30 - M3 1006'!B:B,0),FALSE),"o","")</f>
        <v/>
      </c>
      <c r="M132" s="54" t="str">
        <f>if(iferror(match(A132,'March 30 - M3 1006'!G:G,0),FALSE),"o","")</f>
        <v>o</v>
      </c>
      <c r="N132" s="54" t="str">
        <f>if(iferror(match(A132,'March 30 - M3 1006'!L:L,0),FALSE),"o","")</f>
        <v/>
      </c>
    </row>
    <row r="133" ht="22.5" customHeight="1">
      <c r="A133" s="50" t="s">
        <v>215</v>
      </c>
      <c r="B133" s="56">
        <f t="shared" si="1"/>
        <v>3</v>
      </c>
      <c r="C133" s="52" t="str">
        <f>if(iferror(match(A133,'March 22 - RCH 301'!B:B,0),FALSE),"o","")</f>
        <v/>
      </c>
      <c r="D133" s="53" t="str">
        <f>if(iferror(match(A133,'March 22 - RCH 301'!G:G,0),FALSE),"o","")</f>
        <v/>
      </c>
      <c r="E133" s="54" t="str">
        <f>if(iferror(match(A133,'March 22 - RCH 301'!L:L,0),FALSE),"o","")</f>
        <v/>
      </c>
      <c r="F133" s="55" t="str">
        <f>if(iferror(match(A133,'March 23 - M3 1006'!B:B,0),FALSE),"o","")</f>
        <v/>
      </c>
      <c r="G133" s="54" t="str">
        <f>if(iferror(match(A133,'March 23 - M3 1006'!G:G,0),FALSE),"o","")</f>
        <v/>
      </c>
      <c r="H133" s="54" t="str">
        <f>if(iferror(match(A133,'March 23 - M3 1006'!L:L,0),FALSE),"o","")</f>
        <v/>
      </c>
      <c r="I133" s="55" t="str">
        <f>if(iferror(match(A133,'March 29 - M3 1006'!B:B,0),FALSE),"o","")</f>
        <v>o</v>
      </c>
      <c r="J133" s="54" t="str">
        <f>if(iferror(match(A133,'March 29 - M3 1006'!G:G,0),FALSE),"o","")</f>
        <v>o</v>
      </c>
      <c r="K133" s="54" t="str">
        <f>if(iferror(match(A133,'March 29 - M3 1006'!L:L,0),FALSE),"o","")</f>
        <v/>
      </c>
      <c r="L133" s="55" t="str">
        <f>if(iferror(match(A133,'March 30 - M3 1006'!B:B,0),FALSE),"o","")</f>
        <v>o</v>
      </c>
      <c r="M133" s="54" t="str">
        <f>if(iferror(match(A133,'March 30 - M3 1006'!G:G,0),FALSE),"o","")</f>
        <v/>
      </c>
      <c r="N133" s="54" t="str">
        <f>if(iferror(match(A133,'March 30 - M3 1006'!L:L,0),FALSE),"o","")</f>
        <v/>
      </c>
    </row>
    <row r="134" ht="22.5" customHeight="1">
      <c r="A134" s="50" t="s">
        <v>251</v>
      </c>
      <c r="B134" s="56">
        <f t="shared" si="1"/>
        <v>0</v>
      </c>
      <c r="C134" s="52" t="str">
        <f>if(iferror(match(A134,'March 22 - RCH 301'!B:B,0),FALSE),"o","")</f>
        <v/>
      </c>
      <c r="D134" s="53" t="str">
        <f>if(iferror(match(A134,'March 22 - RCH 301'!G:G,0),FALSE),"o","")</f>
        <v/>
      </c>
      <c r="E134" s="54" t="str">
        <f>if(iferror(match(A134,'March 22 - RCH 301'!L:L,0),FALSE),"o","")</f>
        <v/>
      </c>
      <c r="F134" s="55" t="str">
        <f>if(iferror(match(A134,'March 23 - M3 1006'!B:B,0),FALSE),"o","")</f>
        <v/>
      </c>
      <c r="G134" s="54" t="str">
        <f>if(iferror(match(A134,'March 23 - M3 1006'!G:G,0),FALSE),"o","")</f>
        <v/>
      </c>
      <c r="H134" s="54" t="str">
        <f>if(iferror(match(A134,'March 23 - M3 1006'!L:L,0),FALSE),"o","")</f>
        <v/>
      </c>
      <c r="I134" s="55" t="str">
        <f>if(iferror(match(A134,'March 29 - M3 1006'!B:B,0),FALSE),"o","")</f>
        <v/>
      </c>
      <c r="J134" s="54" t="str">
        <f>if(iferror(match(A134,'March 29 - M3 1006'!G:G,0),FALSE),"o","")</f>
        <v/>
      </c>
      <c r="K134" s="54" t="str">
        <f>if(iferror(match(A134,'March 29 - M3 1006'!L:L,0),FALSE),"o","")</f>
        <v/>
      </c>
      <c r="L134" s="55" t="str">
        <f>if(iferror(match(A134,'March 30 - M3 1006'!B:B,0),FALSE),"o","")</f>
        <v/>
      </c>
      <c r="M134" s="54" t="str">
        <f>if(iferror(match(A134,'March 30 - M3 1006'!G:G,0),FALSE),"o","")</f>
        <v/>
      </c>
      <c r="N134" s="54" t="str">
        <f>if(iferror(match(A134,'March 30 - M3 1006'!L:L,0),FALSE),"o","")</f>
        <v/>
      </c>
    </row>
    <row r="135" ht="22.5" customHeight="1">
      <c r="A135" s="50" t="s">
        <v>207</v>
      </c>
      <c r="B135" s="56">
        <f t="shared" si="1"/>
        <v>4</v>
      </c>
      <c r="C135" s="52" t="str">
        <f>if(iferror(match(A135,'March 22 - RCH 301'!B:B,0),FALSE),"o","")</f>
        <v/>
      </c>
      <c r="D135" s="53" t="str">
        <f>if(iferror(match(A135,'March 22 - RCH 301'!G:G,0),FALSE),"o","")</f>
        <v/>
      </c>
      <c r="E135" s="54" t="str">
        <f>if(iferror(match(A135,'March 22 - RCH 301'!L:L,0),FALSE),"o","")</f>
        <v/>
      </c>
      <c r="F135" s="55" t="str">
        <f>if(iferror(match(A135,'March 23 - M3 1006'!B:B,0),FALSE),"o","")</f>
        <v/>
      </c>
      <c r="G135" s="54" t="str">
        <f>if(iferror(match(A135,'March 23 - M3 1006'!G:G,0),FALSE),"o","")</f>
        <v/>
      </c>
      <c r="H135" s="54" t="str">
        <f>if(iferror(match(A135,'March 23 - M3 1006'!L:L,0),FALSE),"o","")</f>
        <v/>
      </c>
      <c r="I135" s="55" t="str">
        <f>if(iferror(match(A135,'March 29 - M3 1006'!B:B,0),FALSE),"o","")</f>
        <v/>
      </c>
      <c r="J135" s="54" t="str">
        <f>if(iferror(match(A135,'March 29 - M3 1006'!G:G,0),FALSE),"o","")</f>
        <v>o</v>
      </c>
      <c r="K135" s="54" t="str">
        <f>if(iferror(match(A135,'March 29 - M3 1006'!L:L,0),FALSE),"o","")</f>
        <v>o</v>
      </c>
      <c r="L135" s="55" t="str">
        <f>if(iferror(match(A135,'March 30 - M3 1006'!B:B,0),FALSE),"o","")</f>
        <v/>
      </c>
      <c r="M135" s="54" t="str">
        <f>if(iferror(match(A135,'March 30 - M3 1006'!G:G,0),FALSE),"o","")</f>
        <v>o</v>
      </c>
      <c r="N135" s="54" t="str">
        <f>if(iferror(match(A135,'March 30 - M3 1006'!L:L,0),FALSE),"o","")</f>
        <v>o</v>
      </c>
    </row>
    <row r="136" ht="22.5" customHeight="1">
      <c r="A136" s="50" t="s">
        <v>165</v>
      </c>
      <c r="B136" s="56">
        <f t="shared" si="1"/>
        <v>5</v>
      </c>
      <c r="C136" s="52" t="str">
        <f>if(iferror(match(A136,'March 22 - RCH 301'!B:B,0),FALSE),"o","")</f>
        <v/>
      </c>
      <c r="D136" s="53" t="str">
        <f>if(iferror(match(A136,'March 22 - RCH 301'!G:G,0),FALSE),"o","")</f>
        <v/>
      </c>
      <c r="E136" s="54" t="str">
        <f>if(iferror(match(A136,'March 22 - RCH 301'!L:L,0),FALSE),"o","")</f>
        <v/>
      </c>
      <c r="F136" s="55" t="str">
        <f>if(iferror(match(A136,'March 23 - M3 1006'!B:B,0),FALSE),"o","")</f>
        <v/>
      </c>
      <c r="G136" s="54" t="str">
        <f>if(iferror(match(A136,'March 23 - M3 1006'!G:G,0),FALSE),"o","")</f>
        <v/>
      </c>
      <c r="H136" s="54" t="str">
        <f>if(iferror(match(A136,'March 23 - M3 1006'!L:L,0),FALSE),"o","")</f>
        <v>o</v>
      </c>
      <c r="I136" s="55" t="str">
        <f>if(iferror(match(A136,'March 29 - M3 1006'!B:B,0),FALSE),"o","")</f>
        <v>o</v>
      </c>
      <c r="J136" s="54" t="str">
        <f>if(iferror(match(A136,'March 29 - M3 1006'!G:G,0),FALSE),"o","")</f>
        <v>o</v>
      </c>
      <c r="K136" s="54" t="str">
        <f>if(iferror(match(A136,'March 29 - M3 1006'!L:L,0),FALSE),"o","")</f>
        <v/>
      </c>
      <c r="L136" s="55" t="str">
        <f>if(iferror(match(A136,'March 30 - M3 1006'!B:B,0),FALSE),"o","")</f>
        <v>o</v>
      </c>
      <c r="M136" s="54" t="str">
        <f>if(iferror(match(A136,'March 30 - M3 1006'!G:G,0),FALSE),"o","")</f>
        <v>o</v>
      </c>
      <c r="N136" s="54" t="str">
        <f>if(iferror(match(A136,'March 30 - M3 1006'!L:L,0),FALSE),"o","")</f>
        <v/>
      </c>
    </row>
    <row r="137" ht="22.5" customHeight="1">
      <c r="A137" s="50" t="s">
        <v>153</v>
      </c>
      <c r="B137" s="56">
        <f t="shared" si="1"/>
        <v>3</v>
      </c>
      <c r="C137" s="52" t="str">
        <f>if(iferror(match(A137,'March 22 - RCH 301'!B:B,0),FALSE),"o","")</f>
        <v/>
      </c>
      <c r="D137" s="53" t="str">
        <f>if(iferror(match(A137,'March 22 - RCH 301'!G:G,0),FALSE),"o","")</f>
        <v/>
      </c>
      <c r="E137" s="54" t="str">
        <f>if(iferror(match(A137,'March 22 - RCH 301'!L:L,0),FALSE),"o","")</f>
        <v/>
      </c>
      <c r="F137" s="55" t="str">
        <f>if(iferror(match(A137,'March 23 - M3 1006'!B:B,0),FALSE),"o","")</f>
        <v/>
      </c>
      <c r="G137" s="54" t="str">
        <f>if(iferror(match(A137,'March 23 - M3 1006'!G:G,0),FALSE),"o","")</f>
        <v/>
      </c>
      <c r="H137" s="54" t="str">
        <f>if(iferror(match(A137,'March 23 - M3 1006'!L:L,0),FALSE),"o","")</f>
        <v>o</v>
      </c>
      <c r="I137" s="55" t="str">
        <f>if(iferror(match(A137,'March 29 - M3 1006'!B:B,0),FALSE),"o","")</f>
        <v>o</v>
      </c>
      <c r="J137" s="54" t="str">
        <f>if(iferror(match(A137,'March 29 - M3 1006'!G:G,0),FALSE),"o","")</f>
        <v/>
      </c>
      <c r="K137" s="54" t="str">
        <f>if(iferror(match(A137,'March 29 - M3 1006'!L:L,0),FALSE),"o","")</f>
        <v>o</v>
      </c>
      <c r="L137" s="55" t="str">
        <f>if(iferror(match(A137,'March 30 - M3 1006'!B:B,0),FALSE),"o","")</f>
        <v/>
      </c>
      <c r="M137" s="54" t="str">
        <f>if(iferror(match(A137,'March 30 - M3 1006'!G:G,0),FALSE),"o","")</f>
        <v/>
      </c>
      <c r="N137" s="54" t="str">
        <f>if(iferror(match(A137,'March 30 - M3 1006'!L:L,0),FALSE),"o","")</f>
        <v/>
      </c>
    </row>
    <row r="138" ht="22.5" customHeight="1">
      <c r="A138" s="50" t="s">
        <v>214</v>
      </c>
      <c r="B138" s="56">
        <f t="shared" si="1"/>
        <v>3</v>
      </c>
      <c r="C138" s="52" t="str">
        <f>if(iferror(match(A138,'March 22 - RCH 301'!B:B,0),FALSE),"o","")</f>
        <v/>
      </c>
      <c r="D138" s="53" t="str">
        <f>if(iferror(match(A138,'March 22 - RCH 301'!G:G,0),FALSE),"o","")</f>
        <v/>
      </c>
      <c r="E138" s="54" t="str">
        <f>if(iferror(match(A138,'March 22 - RCH 301'!L:L,0),FALSE),"o","")</f>
        <v/>
      </c>
      <c r="F138" s="55" t="str">
        <f>if(iferror(match(A138,'March 23 - M3 1006'!B:B,0),FALSE),"o","")</f>
        <v/>
      </c>
      <c r="G138" s="54" t="str">
        <f>if(iferror(match(A138,'March 23 - M3 1006'!G:G,0),FALSE),"o","")</f>
        <v/>
      </c>
      <c r="H138" s="54" t="str">
        <f>if(iferror(match(A138,'March 23 - M3 1006'!L:L,0),FALSE),"o","")</f>
        <v/>
      </c>
      <c r="I138" s="55" t="str">
        <f>if(iferror(match(A138,'March 29 - M3 1006'!B:B,0),FALSE),"o","")</f>
        <v>o</v>
      </c>
      <c r="J138" s="54" t="str">
        <f>if(iferror(match(A138,'March 29 - M3 1006'!G:G,0),FALSE),"o","")</f>
        <v/>
      </c>
      <c r="K138" s="54" t="str">
        <f>if(iferror(match(A138,'March 29 - M3 1006'!L:L,0),FALSE),"o","")</f>
        <v/>
      </c>
      <c r="L138" s="55" t="str">
        <f>if(iferror(match(A138,'March 30 - M3 1006'!B:B,0),FALSE),"o","")</f>
        <v/>
      </c>
      <c r="M138" s="54" t="str">
        <f>if(iferror(match(A138,'March 30 - M3 1006'!G:G,0),FALSE),"o","")</f>
        <v>o</v>
      </c>
      <c r="N138" s="54" t="str">
        <f>if(iferror(match(A138,'March 30 - M3 1006'!L:L,0),FALSE),"o","")</f>
        <v>o</v>
      </c>
    </row>
    <row r="139" ht="22.5" customHeight="1">
      <c r="A139" s="50" t="s">
        <v>212</v>
      </c>
      <c r="B139" s="56">
        <f t="shared" si="1"/>
        <v>3</v>
      </c>
      <c r="C139" s="52" t="str">
        <f>if(iferror(match(A139,'March 22 - RCH 301'!B:B,0),FALSE),"o","")</f>
        <v/>
      </c>
      <c r="D139" s="53" t="str">
        <f>if(iferror(match(A139,'March 22 - RCH 301'!G:G,0),FALSE),"o","")</f>
        <v/>
      </c>
      <c r="E139" s="54" t="str">
        <f>if(iferror(match(A139,'March 22 - RCH 301'!L:L,0),FALSE),"o","")</f>
        <v/>
      </c>
      <c r="F139" s="55" t="str">
        <f>if(iferror(match(A139,'March 23 - M3 1006'!B:B,0),FALSE),"o","")</f>
        <v/>
      </c>
      <c r="G139" s="54" t="str">
        <f>if(iferror(match(A139,'March 23 - M3 1006'!G:G,0),FALSE),"o","")</f>
        <v/>
      </c>
      <c r="H139" s="54" t="str">
        <f>if(iferror(match(A139,'March 23 - M3 1006'!L:L,0),FALSE),"o","")</f>
        <v/>
      </c>
      <c r="I139" s="55" t="str">
        <f>if(iferror(match(A139,'March 29 - M3 1006'!B:B,0),FALSE),"o","")</f>
        <v>o</v>
      </c>
      <c r="J139" s="54" t="str">
        <f>if(iferror(match(A139,'March 29 - M3 1006'!G:G,0),FALSE),"o","")</f>
        <v/>
      </c>
      <c r="K139" s="54" t="str">
        <f>if(iferror(match(A139,'March 29 - M3 1006'!L:L,0),FALSE),"o","")</f>
        <v/>
      </c>
      <c r="L139" s="55" t="str">
        <f>if(iferror(match(A139,'March 30 - M3 1006'!B:B,0),FALSE),"o","")</f>
        <v/>
      </c>
      <c r="M139" s="54" t="str">
        <f>if(iferror(match(A139,'March 30 - M3 1006'!G:G,0),FALSE),"o","")</f>
        <v>o</v>
      </c>
      <c r="N139" s="54" t="str">
        <f>if(iferror(match(A139,'March 30 - M3 1006'!L:L,0),FALSE),"o","")</f>
        <v>o</v>
      </c>
    </row>
    <row r="140" ht="22.5" customHeight="1">
      <c r="A140" s="50" t="s">
        <v>225</v>
      </c>
      <c r="B140" s="56">
        <f t="shared" si="1"/>
        <v>3</v>
      </c>
      <c r="C140" s="52" t="str">
        <f>if(iferror(match(A140,'March 22 - RCH 301'!B:B,0),FALSE),"o","")</f>
        <v/>
      </c>
      <c r="D140" s="53" t="str">
        <f>if(iferror(match(A140,'March 22 - RCH 301'!G:G,0),FALSE),"o","")</f>
        <v/>
      </c>
      <c r="E140" s="54" t="str">
        <f>if(iferror(match(A140,'March 22 - RCH 301'!L:L,0),FALSE),"o","")</f>
        <v/>
      </c>
      <c r="F140" s="55" t="str">
        <f>if(iferror(match(A140,'March 23 - M3 1006'!B:B,0),FALSE),"o","")</f>
        <v/>
      </c>
      <c r="G140" s="54" t="str">
        <f>if(iferror(match(A140,'March 23 - M3 1006'!G:G,0),FALSE),"o","")</f>
        <v/>
      </c>
      <c r="H140" s="54" t="str">
        <f>if(iferror(match(A140,'March 23 - M3 1006'!L:L,0),FALSE),"o","")</f>
        <v/>
      </c>
      <c r="I140" s="55" t="str">
        <f>if(iferror(match(A140,'March 29 - M3 1006'!B:B,0),FALSE),"o","")</f>
        <v/>
      </c>
      <c r="J140" s="54" t="str">
        <f>if(iferror(match(A140,'March 29 - M3 1006'!G:G,0),FALSE),"o","")</f>
        <v/>
      </c>
      <c r="K140" s="54" t="str">
        <f>if(iferror(match(A140,'March 29 - M3 1006'!L:L,0),FALSE),"o","")</f>
        <v/>
      </c>
      <c r="L140" s="55" t="str">
        <f>if(iferror(match(A140,'March 30 - M3 1006'!B:B,0),FALSE),"o","")</f>
        <v>o</v>
      </c>
      <c r="M140" s="54" t="str">
        <f>if(iferror(match(A140,'March 30 - M3 1006'!G:G,0),FALSE),"o","")</f>
        <v>o</v>
      </c>
      <c r="N140" s="54" t="str">
        <f>if(iferror(match(A140,'March 30 - M3 1006'!L:L,0),FALSE),"o","")</f>
        <v>o</v>
      </c>
    </row>
    <row r="141" ht="22.5" customHeight="1">
      <c r="A141" s="50" t="s">
        <v>136</v>
      </c>
      <c r="B141" s="56">
        <f t="shared" si="1"/>
        <v>3</v>
      </c>
      <c r="C141" s="52" t="str">
        <f>if(iferror(match(A141,'March 22 - RCH 301'!B:B,0),FALSE),"o","")</f>
        <v/>
      </c>
      <c r="D141" s="53" t="str">
        <f>if(iferror(match(A141,'March 22 - RCH 301'!G:G,0),FALSE),"o","")</f>
        <v/>
      </c>
      <c r="E141" s="54" t="str">
        <f>if(iferror(match(A141,'March 22 - RCH 301'!L:L,0),FALSE),"o","")</f>
        <v/>
      </c>
      <c r="F141" s="55" t="str">
        <f>if(iferror(match(A141,'March 23 - M3 1006'!B:B,0),FALSE),"o","")</f>
        <v>o</v>
      </c>
      <c r="G141" s="54" t="str">
        <f>if(iferror(match(A141,'March 23 - M3 1006'!G:G,0),FALSE),"o","")</f>
        <v>o</v>
      </c>
      <c r="H141" s="54" t="str">
        <f>if(iferror(match(A141,'March 23 - M3 1006'!L:L,0),FALSE),"o","")</f>
        <v>o</v>
      </c>
      <c r="I141" s="55" t="str">
        <f>if(iferror(match(A141,'March 29 - M3 1006'!B:B,0),FALSE),"o","")</f>
        <v/>
      </c>
      <c r="J141" s="54" t="str">
        <f>if(iferror(match(A141,'March 29 - M3 1006'!G:G,0),FALSE),"o","")</f>
        <v/>
      </c>
      <c r="K141" s="54" t="str">
        <f>if(iferror(match(A141,'March 29 - M3 1006'!L:L,0),FALSE),"o","")</f>
        <v/>
      </c>
      <c r="L141" s="55" t="str">
        <f>if(iferror(match(A141,'March 30 - M3 1006'!B:B,0),FALSE),"o","")</f>
        <v/>
      </c>
      <c r="M141" s="54" t="str">
        <f>if(iferror(match(A141,'March 30 - M3 1006'!G:G,0),FALSE),"o","")</f>
        <v/>
      </c>
      <c r="N141" s="54" t="str">
        <f>if(iferror(match(A141,'March 30 - M3 1006'!L:L,0),FALSE),"o","")</f>
        <v/>
      </c>
    </row>
    <row r="142" ht="22.5" customHeight="1">
      <c r="A142" s="50" t="s">
        <v>193</v>
      </c>
      <c r="B142" s="56">
        <f t="shared" si="1"/>
        <v>3</v>
      </c>
      <c r="C142" s="52" t="str">
        <f>if(iferror(match(A142,'March 22 - RCH 301'!B:B,0),FALSE),"o","")</f>
        <v/>
      </c>
      <c r="D142" s="53" t="str">
        <f>if(iferror(match(A142,'March 22 - RCH 301'!G:G,0),FALSE),"o","")</f>
        <v/>
      </c>
      <c r="E142" s="54" t="str">
        <f>if(iferror(match(A142,'March 22 - RCH 301'!L:L,0),FALSE),"o","")</f>
        <v/>
      </c>
      <c r="F142" s="55" t="str">
        <f>if(iferror(match(A142,'March 23 - M3 1006'!B:B,0),FALSE),"o","")</f>
        <v/>
      </c>
      <c r="G142" s="54" t="str">
        <f>if(iferror(match(A142,'March 23 - M3 1006'!G:G,0),FALSE),"o","")</f>
        <v/>
      </c>
      <c r="H142" s="54" t="str">
        <f>if(iferror(match(A142,'March 23 - M3 1006'!L:L,0),FALSE),"o","")</f>
        <v/>
      </c>
      <c r="I142" s="55" t="str">
        <f>if(iferror(match(A142,'March 29 - M3 1006'!B:B,0),FALSE),"o","")</f>
        <v/>
      </c>
      <c r="J142" s="54" t="str">
        <f>if(iferror(match(A142,'March 29 - M3 1006'!G:G,0),FALSE),"o","")</f>
        <v/>
      </c>
      <c r="K142" s="54" t="str">
        <f>if(iferror(match(A142,'March 29 - M3 1006'!L:L,0),FALSE),"o","")</f>
        <v>o</v>
      </c>
      <c r="L142" s="55" t="str">
        <f>if(iferror(match(A142,'March 30 - M3 1006'!B:B,0),FALSE),"o","")</f>
        <v/>
      </c>
      <c r="M142" s="54" t="str">
        <f>if(iferror(match(A142,'March 30 - M3 1006'!G:G,0),FALSE),"o","")</f>
        <v>o</v>
      </c>
      <c r="N142" s="54" t="str">
        <f>if(iferror(match(A142,'March 30 - M3 1006'!L:L,0),FALSE),"o","")</f>
        <v>o</v>
      </c>
    </row>
    <row r="143" ht="22.5" customHeight="1">
      <c r="A143" s="50" t="s">
        <v>99</v>
      </c>
      <c r="B143" s="56">
        <f t="shared" si="1"/>
        <v>3</v>
      </c>
      <c r="C143" s="52" t="str">
        <f>if(iferror(match(A143,'March 22 - RCH 301'!B:B,0),FALSE),"o","")</f>
        <v>o</v>
      </c>
      <c r="D143" s="53" t="str">
        <f>if(iferror(match(A143,'March 22 - RCH 301'!G:G,0),FALSE),"o","")</f>
        <v>o</v>
      </c>
      <c r="E143" s="54" t="str">
        <f>if(iferror(match(A143,'March 22 - RCH 301'!L:L,0),FALSE),"o","")</f>
        <v/>
      </c>
      <c r="F143" s="55" t="str">
        <f>if(iferror(match(A143,'March 23 - M3 1006'!B:B,0),FALSE),"o","")</f>
        <v/>
      </c>
      <c r="G143" s="54" t="str">
        <f>if(iferror(match(A143,'March 23 - M3 1006'!G:G,0),FALSE),"o","")</f>
        <v/>
      </c>
      <c r="H143" s="54" t="str">
        <f>if(iferror(match(A143,'March 23 - M3 1006'!L:L,0),FALSE),"o","")</f>
        <v/>
      </c>
      <c r="I143" s="55" t="str">
        <f>if(iferror(match(A143,'March 29 - M3 1006'!B:B,0),FALSE),"o","")</f>
        <v>o</v>
      </c>
      <c r="J143" s="54" t="str">
        <f>if(iferror(match(A143,'March 29 - M3 1006'!G:G,0),FALSE),"o","")</f>
        <v/>
      </c>
      <c r="K143" s="54" t="str">
        <f>if(iferror(match(A143,'March 29 - M3 1006'!L:L,0),FALSE),"o","")</f>
        <v/>
      </c>
      <c r="L143" s="55" t="str">
        <f>if(iferror(match(A143,'March 30 - M3 1006'!B:B,0),FALSE),"o","")</f>
        <v/>
      </c>
      <c r="M143" s="54" t="str">
        <f>if(iferror(match(A143,'March 30 - M3 1006'!G:G,0),FALSE),"o","")</f>
        <v/>
      </c>
      <c r="N143" s="54" t="str">
        <f>if(iferror(match(A143,'March 30 - M3 1006'!L:L,0),FALSE),"o","")</f>
        <v/>
      </c>
    </row>
    <row r="144" ht="22.5" customHeight="1">
      <c r="A144" s="50" t="s">
        <v>216</v>
      </c>
      <c r="B144" s="56">
        <f t="shared" si="1"/>
        <v>3</v>
      </c>
      <c r="C144" s="52" t="str">
        <f>if(iferror(match(A144,'March 22 - RCH 301'!B:B,0),FALSE),"o","")</f>
        <v/>
      </c>
      <c r="D144" s="53" t="str">
        <f>if(iferror(match(A144,'March 22 - RCH 301'!G:G,0),FALSE),"o","")</f>
        <v/>
      </c>
      <c r="E144" s="54" t="str">
        <f>if(iferror(match(A144,'March 22 - RCH 301'!L:L,0),FALSE),"o","")</f>
        <v/>
      </c>
      <c r="F144" s="55" t="str">
        <f>if(iferror(match(A144,'March 23 - M3 1006'!B:B,0),FALSE),"o","")</f>
        <v/>
      </c>
      <c r="G144" s="54" t="str">
        <f>if(iferror(match(A144,'March 23 - M3 1006'!G:G,0),FALSE),"o","")</f>
        <v/>
      </c>
      <c r="H144" s="54" t="str">
        <f>if(iferror(match(A144,'March 23 - M3 1006'!L:L,0),FALSE),"o","")</f>
        <v/>
      </c>
      <c r="I144" s="55" t="str">
        <f>if(iferror(match(A144,'March 29 - M3 1006'!B:B,0),FALSE),"o","")</f>
        <v>o</v>
      </c>
      <c r="J144" s="54" t="str">
        <f>if(iferror(match(A144,'March 29 - M3 1006'!G:G,0),FALSE),"o","")</f>
        <v>o</v>
      </c>
      <c r="K144" s="54" t="str">
        <f>if(iferror(match(A144,'March 29 - M3 1006'!L:L,0),FALSE),"o","")</f>
        <v/>
      </c>
      <c r="L144" s="55" t="str">
        <f>if(iferror(match(A144,'March 30 - M3 1006'!B:B,0),FALSE),"o","")</f>
        <v>o</v>
      </c>
      <c r="M144" s="54" t="str">
        <f>if(iferror(match(A144,'March 30 - M3 1006'!G:G,0),FALSE),"o","")</f>
        <v/>
      </c>
      <c r="N144" s="54" t="str">
        <f>if(iferror(match(A144,'March 30 - M3 1006'!L:L,0),FALSE),"o","")</f>
        <v/>
      </c>
    </row>
    <row r="145" ht="22.5" customHeight="1">
      <c r="A145" s="50" t="s">
        <v>160</v>
      </c>
      <c r="B145" s="56">
        <f t="shared" si="1"/>
        <v>3</v>
      </c>
      <c r="C145" s="52" t="str">
        <f>if(iferror(match(A145,'March 22 - RCH 301'!B:B,0),FALSE),"o","")</f>
        <v/>
      </c>
      <c r="D145" s="53" t="str">
        <f>if(iferror(match(A145,'March 22 - RCH 301'!G:G,0),FALSE),"o","")</f>
        <v/>
      </c>
      <c r="E145" s="54" t="str">
        <f>if(iferror(match(A145,'March 22 - RCH 301'!L:L,0),FALSE),"o","")</f>
        <v/>
      </c>
      <c r="F145" s="55" t="str">
        <f>if(iferror(match(A145,'March 23 - M3 1006'!B:B,0),FALSE),"o","")</f>
        <v/>
      </c>
      <c r="G145" s="54" t="str">
        <f>if(iferror(match(A145,'March 23 - M3 1006'!G:G,0),FALSE),"o","")</f>
        <v/>
      </c>
      <c r="H145" s="54" t="str">
        <f>if(iferror(match(A145,'March 23 - M3 1006'!L:L,0),FALSE),"o","")</f>
        <v>o</v>
      </c>
      <c r="I145" s="55" t="str">
        <f>if(iferror(match(A145,'March 29 - M3 1006'!B:B,0),FALSE),"o","")</f>
        <v/>
      </c>
      <c r="J145" s="54" t="str">
        <f>if(iferror(match(A145,'March 29 - M3 1006'!G:G,0),FALSE),"o","")</f>
        <v/>
      </c>
      <c r="K145" s="54" t="str">
        <f>if(iferror(match(A145,'March 29 - M3 1006'!L:L,0),FALSE),"o","")</f>
        <v/>
      </c>
      <c r="L145" s="55" t="str">
        <f>if(iferror(match(A145,'March 30 - M3 1006'!B:B,0),FALSE),"o","")</f>
        <v>o</v>
      </c>
      <c r="M145" s="54" t="str">
        <f>if(iferror(match(A145,'March 30 - M3 1006'!G:G,0),FALSE),"o","")</f>
        <v>o</v>
      </c>
      <c r="N145" s="54" t="str">
        <f>if(iferror(match(A145,'March 30 - M3 1006'!L:L,0),FALSE),"o","")</f>
        <v/>
      </c>
    </row>
    <row r="146" ht="22.5" customHeight="1">
      <c r="A146" s="50" t="s">
        <v>198</v>
      </c>
      <c r="B146" s="56">
        <f t="shared" si="1"/>
        <v>3</v>
      </c>
      <c r="C146" s="52" t="str">
        <f>if(iferror(match(A146,'March 22 - RCH 301'!B:B,0),FALSE),"o","")</f>
        <v/>
      </c>
      <c r="D146" s="53" t="str">
        <f>if(iferror(match(A146,'March 22 - RCH 301'!G:G,0),FALSE),"o","")</f>
        <v/>
      </c>
      <c r="E146" s="54" t="str">
        <f>if(iferror(match(A146,'March 22 - RCH 301'!L:L,0),FALSE),"o","")</f>
        <v/>
      </c>
      <c r="F146" s="55" t="str">
        <f>if(iferror(match(A146,'March 23 - M3 1006'!B:B,0),FALSE),"o","")</f>
        <v/>
      </c>
      <c r="G146" s="54" t="str">
        <f>if(iferror(match(A146,'March 23 - M3 1006'!G:G,0),FALSE),"o","")</f>
        <v/>
      </c>
      <c r="H146" s="54" t="str">
        <f>if(iferror(match(A146,'March 23 - M3 1006'!L:L,0),FALSE),"o","")</f>
        <v/>
      </c>
      <c r="I146" s="55" t="str">
        <f>if(iferror(match(A146,'March 29 - M3 1006'!B:B,0),FALSE),"o","")</f>
        <v>o</v>
      </c>
      <c r="J146" s="54" t="str">
        <f>if(iferror(match(A146,'March 29 - M3 1006'!G:G,0),FALSE),"o","")</f>
        <v>o</v>
      </c>
      <c r="K146" s="54" t="str">
        <f>if(iferror(match(A146,'March 29 - M3 1006'!L:L,0),FALSE),"o","")</f>
        <v>o</v>
      </c>
      <c r="L146" s="55" t="str">
        <f>if(iferror(match(A146,'March 30 - M3 1006'!B:B,0),FALSE),"o","")</f>
        <v/>
      </c>
      <c r="M146" s="54" t="str">
        <f>if(iferror(match(A146,'March 30 - M3 1006'!G:G,0),FALSE),"o","")</f>
        <v/>
      </c>
      <c r="N146" s="54" t="str">
        <f>if(iferror(match(A146,'March 30 - M3 1006'!L:L,0),FALSE),"o","")</f>
        <v/>
      </c>
    </row>
    <row r="147" ht="22.5" customHeight="1">
      <c r="A147" s="50" t="s">
        <v>168</v>
      </c>
      <c r="B147" s="56">
        <f t="shared" si="1"/>
        <v>3</v>
      </c>
      <c r="C147" s="52" t="str">
        <f>if(iferror(match(A147,'March 22 - RCH 301'!B:B,0),FALSE),"o","")</f>
        <v/>
      </c>
      <c r="D147" s="53" t="str">
        <f>if(iferror(match(A147,'March 22 - RCH 301'!G:G,0),FALSE),"o","")</f>
        <v/>
      </c>
      <c r="E147" s="54" t="str">
        <f>if(iferror(match(A147,'March 22 - RCH 301'!L:L,0),FALSE),"o","")</f>
        <v/>
      </c>
      <c r="F147" s="55" t="str">
        <f>if(iferror(match(A147,'March 23 - M3 1006'!B:B,0),FALSE),"o","")</f>
        <v/>
      </c>
      <c r="G147" s="54" t="str">
        <f>if(iferror(match(A147,'March 23 - M3 1006'!G:G,0),FALSE),"o","")</f>
        <v>o</v>
      </c>
      <c r="H147" s="54" t="str">
        <f>if(iferror(match(A147,'March 23 - M3 1006'!L:L,0),FALSE),"o","")</f>
        <v/>
      </c>
      <c r="I147" s="55" t="str">
        <f>if(iferror(match(A147,'March 29 - M3 1006'!B:B,0),FALSE),"o","")</f>
        <v/>
      </c>
      <c r="J147" s="54" t="str">
        <f>if(iferror(match(A147,'March 29 - M3 1006'!G:G,0),FALSE),"o","")</f>
        <v>o</v>
      </c>
      <c r="K147" s="54" t="str">
        <f>if(iferror(match(A147,'March 29 - M3 1006'!L:L,0),FALSE),"o","")</f>
        <v/>
      </c>
      <c r="L147" s="55" t="str">
        <f>if(iferror(match(A147,'March 30 - M3 1006'!B:B,0),FALSE),"o","")</f>
        <v/>
      </c>
      <c r="M147" s="54" t="str">
        <f>if(iferror(match(A147,'March 30 - M3 1006'!G:G,0),FALSE),"o","")</f>
        <v>o</v>
      </c>
      <c r="N147" s="54" t="str">
        <f>if(iferror(match(A147,'March 30 - M3 1006'!L:L,0),FALSE),"o","")</f>
        <v/>
      </c>
    </row>
    <row r="148" ht="22.5" customHeight="1">
      <c r="A148" s="50" t="s">
        <v>94</v>
      </c>
      <c r="B148" s="56">
        <f t="shared" si="1"/>
        <v>6</v>
      </c>
      <c r="C148" s="52" t="str">
        <f>if(iferror(match(A148,'March 22 - RCH 301'!B:B,0),FALSE),"o","")</f>
        <v/>
      </c>
      <c r="D148" s="53" t="str">
        <f>if(iferror(match(A148,'March 22 - RCH 301'!G:G,0),FALSE),"o","")</f>
        <v>o</v>
      </c>
      <c r="E148" s="54" t="str">
        <f>if(iferror(match(A148,'March 22 - RCH 301'!L:L,0),FALSE),"o","")</f>
        <v>o</v>
      </c>
      <c r="F148" s="55" t="str">
        <f>if(iferror(match(A148,'March 23 - M3 1006'!B:B,0),FALSE),"o","")</f>
        <v/>
      </c>
      <c r="G148" s="54" t="str">
        <f>if(iferror(match(A148,'March 23 - M3 1006'!G:G,0),FALSE),"o","")</f>
        <v>o</v>
      </c>
      <c r="H148" s="54" t="str">
        <f>if(iferror(match(A148,'March 23 - M3 1006'!L:L,0),FALSE),"o","")</f>
        <v>o</v>
      </c>
      <c r="I148" s="55" t="str">
        <f>if(iferror(match(A148,'March 29 - M3 1006'!B:B,0),FALSE),"o","")</f>
        <v/>
      </c>
      <c r="J148" s="54" t="str">
        <f>if(iferror(match(A148,'March 29 - M3 1006'!G:G,0),FALSE),"o","")</f>
        <v/>
      </c>
      <c r="K148" s="54" t="str">
        <f>if(iferror(match(A148,'March 29 - M3 1006'!L:L,0),FALSE),"o","")</f>
        <v/>
      </c>
      <c r="L148" s="55" t="str">
        <f>if(iferror(match(A148,'March 30 - M3 1006'!B:B,0),FALSE),"o","")</f>
        <v/>
      </c>
      <c r="M148" s="54" t="str">
        <f>if(iferror(match(A148,'March 30 - M3 1006'!G:G,0),FALSE),"o","")</f>
        <v>o</v>
      </c>
      <c r="N148" s="54" t="str">
        <f>if(iferror(match(A148,'March 30 - M3 1006'!L:L,0),FALSE),"o","")</f>
        <v>o</v>
      </c>
    </row>
    <row r="149" ht="22.5" customHeight="1">
      <c r="A149" s="50" t="s">
        <v>109</v>
      </c>
      <c r="B149" s="56">
        <f t="shared" si="1"/>
        <v>3</v>
      </c>
      <c r="C149" s="52" t="str">
        <f>if(iferror(match(A149,'March 22 - RCH 301'!B:B,0),FALSE),"o","")</f>
        <v>o</v>
      </c>
      <c r="D149" s="53" t="str">
        <f>if(iferror(match(A149,'March 22 - RCH 301'!G:G,0),FALSE),"o","")</f>
        <v/>
      </c>
      <c r="E149" s="54" t="str">
        <f>if(iferror(match(A149,'March 22 - RCH 301'!L:L,0),FALSE),"o","")</f>
        <v/>
      </c>
      <c r="F149" s="55" t="str">
        <f>if(iferror(match(A149,'March 23 - M3 1006'!B:B,0),FALSE),"o","")</f>
        <v>o</v>
      </c>
      <c r="G149" s="54" t="str">
        <f>if(iferror(match(A149,'March 23 - M3 1006'!G:G,0),FALSE),"o","")</f>
        <v>o</v>
      </c>
      <c r="H149" s="54" t="str">
        <f>if(iferror(match(A149,'March 23 - M3 1006'!L:L,0),FALSE),"o","")</f>
        <v/>
      </c>
      <c r="I149" s="55" t="str">
        <f>if(iferror(match(A149,'March 29 - M3 1006'!B:B,0),FALSE),"o","")</f>
        <v/>
      </c>
      <c r="J149" s="54" t="str">
        <f>if(iferror(match(A149,'March 29 - M3 1006'!G:G,0),FALSE),"o","")</f>
        <v/>
      </c>
      <c r="K149" s="54" t="str">
        <f>if(iferror(match(A149,'March 29 - M3 1006'!L:L,0),FALSE),"o","")</f>
        <v/>
      </c>
      <c r="L149" s="55" t="str">
        <f>if(iferror(match(A149,'March 30 - M3 1006'!B:B,0),FALSE),"o","")</f>
        <v/>
      </c>
      <c r="M149" s="54" t="str">
        <f>if(iferror(match(A149,'March 30 - M3 1006'!G:G,0),FALSE),"o","")</f>
        <v/>
      </c>
      <c r="N149" s="54" t="str">
        <f>if(iferror(match(A149,'March 30 - M3 1006'!L:L,0),FALSE),"o","")</f>
        <v/>
      </c>
    </row>
    <row r="150" ht="22.5" customHeight="1">
      <c r="A150" s="50" t="s">
        <v>138</v>
      </c>
      <c r="B150" s="56">
        <f t="shared" si="1"/>
        <v>3</v>
      </c>
      <c r="C150" s="52" t="str">
        <f>if(iferror(match(A150,'March 22 - RCH 301'!B:B,0),FALSE),"o","")</f>
        <v/>
      </c>
      <c r="D150" s="53" t="str">
        <f>if(iferror(match(A150,'March 22 - RCH 301'!G:G,0),FALSE),"o","")</f>
        <v/>
      </c>
      <c r="E150" s="54" t="str">
        <f>if(iferror(match(A150,'March 22 - RCH 301'!L:L,0),FALSE),"o","")</f>
        <v/>
      </c>
      <c r="F150" s="55" t="str">
        <f>if(iferror(match(A150,'March 23 - M3 1006'!B:B,0),FALSE),"o","")</f>
        <v/>
      </c>
      <c r="G150" s="54" t="str">
        <f>if(iferror(match(A150,'March 23 - M3 1006'!G:G,0),FALSE),"o","")</f>
        <v/>
      </c>
      <c r="H150" s="54" t="str">
        <f>if(iferror(match(A150,'March 23 - M3 1006'!L:L,0),FALSE),"o","")</f>
        <v>o</v>
      </c>
      <c r="I150" s="55" t="str">
        <f>if(iferror(match(A150,'March 29 - M3 1006'!B:B,0),FALSE),"o","")</f>
        <v/>
      </c>
      <c r="J150" s="54" t="str">
        <f>if(iferror(match(A150,'March 29 - M3 1006'!G:G,0),FALSE),"o","")</f>
        <v/>
      </c>
      <c r="K150" s="54" t="str">
        <f>if(iferror(match(A150,'March 29 - M3 1006'!L:L,0),FALSE),"o","")</f>
        <v/>
      </c>
      <c r="L150" s="55" t="str">
        <f>if(iferror(match(A150,'March 30 - M3 1006'!B:B,0),FALSE),"o","")</f>
        <v/>
      </c>
      <c r="M150" s="54" t="str">
        <f>if(iferror(match(A150,'March 30 - M3 1006'!G:G,0),FALSE),"o","")</f>
        <v>o</v>
      </c>
      <c r="N150" s="54" t="str">
        <f>if(iferror(match(A150,'March 30 - M3 1006'!L:L,0),FALSE),"o","")</f>
        <v>o</v>
      </c>
    </row>
    <row r="151" ht="22.5" customHeight="1">
      <c r="A151" s="50" t="s">
        <v>224</v>
      </c>
      <c r="B151" s="56">
        <f t="shared" si="1"/>
        <v>3</v>
      </c>
      <c r="C151" s="52" t="str">
        <f>if(iferror(match(A151,'March 22 - RCH 301'!B:B,0),FALSE),"o","")</f>
        <v/>
      </c>
      <c r="D151" s="53" t="str">
        <f>if(iferror(match(A151,'March 22 - RCH 301'!G:G,0),FALSE),"o","")</f>
        <v/>
      </c>
      <c r="E151" s="54" t="str">
        <f>if(iferror(match(A151,'March 22 - RCH 301'!L:L,0),FALSE),"o","")</f>
        <v/>
      </c>
      <c r="F151" s="55" t="str">
        <f>if(iferror(match(A151,'March 23 - M3 1006'!B:B,0),FALSE),"o","")</f>
        <v/>
      </c>
      <c r="G151" s="54" t="str">
        <f>if(iferror(match(A151,'March 23 - M3 1006'!G:G,0),FALSE),"o","")</f>
        <v/>
      </c>
      <c r="H151" s="54" t="str">
        <f>if(iferror(match(A151,'March 23 - M3 1006'!L:L,0),FALSE),"o","")</f>
        <v/>
      </c>
      <c r="I151" s="55" t="str">
        <f>if(iferror(match(A151,'March 29 - M3 1006'!B:B,0),FALSE),"o","")</f>
        <v/>
      </c>
      <c r="J151" s="54" t="str">
        <f>if(iferror(match(A151,'March 29 - M3 1006'!G:G,0),FALSE),"o","")</f>
        <v/>
      </c>
      <c r="K151" s="54" t="str">
        <f>if(iferror(match(A151,'March 29 - M3 1006'!L:L,0),FALSE),"o","")</f>
        <v/>
      </c>
      <c r="L151" s="55" t="str">
        <f>if(iferror(match(A151,'March 30 - M3 1006'!B:B,0),FALSE),"o","")</f>
        <v>o</v>
      </c>
      <c r="M151" s="54" t="str">
        <f>if(iferror(match(A151,'March 30 - M3 1006'!G:G,0),FALSE),"o","")</f>
        <v>o</v>
      </c>
      <c r="N151" s="54" t="str">
        <f>if(iferror(match(A151,'March 30 - M3 1006'!L:L,0),FALSE),"o","")</f>
        <v>o</v>
      </c>
    </row>
    <row r="152" ht="22.5" customHeight="1">
      <c r="A152" s="50" t="s">
        <v>157</v>
      </c>
      <c r="B152" s="56">
        <f t="shared" si="1"/>
        <v>3</v>
      </c>
      <c r="C152" s="52" t="str">
        <f>if(iferror(match(A152,'March 22 - RCH 301'!B:B,0),FALSE),"o","")</f>
        <v/>
      </c>
      <c r="D152" s="53" t="str">
        <f>if(iferror(match(A152,'March 22 - RCH 301'!G:G,0),FALSE),"o","")</f>
        <v/>
      </c>
      <c r="E152" s="54" t="str">
        <f>if(iferror(match(A152,'March 22 - RCH 301'!L:L,0),FALSE),"o","")</f>
        <v/>
      </c>
      <c r="F152" s="55" t="str">
        <f>if(iferror(match(A152,'March 23 - M3 1006'!B:B,0),FALSE),"o","")</f>
        <v>o</v>
      </c>
      <c r="G152" s="54" t="str">
        <f>if(iferror(match(A152,'March 23 - M3 1006'!G:G,0),FALSE),"o","")</f>
        <v>o</v>
      </c>
      <c r="H152" s="54" t="str">
        <f>if(iferror(match(A152,'March 23 - M3 1006'!L:L,0),FALSE),"o","")</f>
        <v>o</v>
      </c>
      <c r="I152" s="55" t="str">
        <f>if(iferror(match(A152,'March 29 - M3 1006'!B:B,0),FALSE),"o","")</f>
        <v/>
      </c>
      <c r="J152" s="54" t="str">
        <f>if(iferror(match(A152,'March 29 - M3 1006'!G:G,0),FALSE),"o","")</f>
        <v/>
      </c>
      <c r="K152" s="54" t="str">
        <f>if(iferror(match(A152,'March 29 - M3 1006'!L:L,0),FALSE),"o","")</f>
        <v/>
      </c>
      <c r="L152" s="55" t="str">
        <f>if(iferror(match(A152,'March 30 - M3 1006'!B:B,0),FALSE),"o","")</f>
        <v/>
      </c>
      <c r="M152" s="54" t="str">
        <f>if(iferror(match(A152,'March 30 - M3 1006'!G:G,0),FALSE),"o","")</f>
        <v/>
      </c>
      <c r="N152" s="54" t="str">
        <f>if(iferror(match(A152,'March 30 - M3 1006'!L:L,0),FALSE),"o","")</f>
        <v/>
      </c>
    </row>
    <row r="153" ht="22.5" customHeight="1">
      <c r="A153" s="50" t="s">
        <v>96</v>
      </c>
      <c r="B153" s="56">
        <f t="shared" si="1"/>
        <v>6</v>
      </c>
      <c r="C153" s="52" t="str">
        <f>if(iferror(match(A153,'March 22 - RCH 301'!B:B,0),FALSE),"o","")</f>
        <v/>
      </c>
      <c r="D153" s="53" t="str">
        <f>if(iferror(match(A153,'March 22 - RCH 301'!G:G,0),FALSE),"o","")</f>
        <v>o</v>
      </c>
      <c r="E153" s="54" t="str">
        <f>if(iferror(match(A153,'March 22 - RCH 301'!L:L,0),FALSE),"o","")</f>
        <v>o</v>
      </c>
      <c r="F153" s="55" t="str">
        <f>if(iferror(match(A153,'March 23 - M3 1006'!B:B,0),FALSE),"o","")</f>
        <v>o</v>
      </c>
      <c r="G153" s="54" t="str">
        <f>if(iferror(match(A153,'March 23 - M3 1006'!G:G,0),FALSE),"o","")</f>
        <v>o</v>
      </c>
      <c r="H153" s="54" t="str">
        <f>if(iferror(match(A153,'March 23 - M3 1006'!L:L,0),FALSE),"o","")</f>
        <v/>
      </c>
      <c r="I153" s="55" t="str">
        <f>if(iferror(match(A153,'March 29 - M3 1006'!B:B,0),FALSE),"o","")</f>
        <v/>
      </c>
      <c r="J153" s="54" t="str">
        <f>if(iferror(match(A153,'March 29 - M3 1006'!G:G,0),FALSE),"o","")</f>
        <v/>
      </c>
      <c r="K153" s="54" t="str">
        <f>if(iferror(match(A153,'March 29 - M3 1006'!L:L,0),FALSE),"o","")</f>
        <v/>
      </c>
      <c r="L153" s="55" t="str">
        <f>if(iferror(match(A153,'March 30 - M3 1006'!B:B,0),FALSE),"o","")</f>
        <v/>
      </c>
      <c r="M153" s="54" t="str">
        <f>if(iferror(match(A153,'March 30 - M3 1006'!G:G,0),FALSE),"o","")</f>
        <v>o</v>
      </c>
      <c r="N153" s="54" t="str">
        <f>if(iferror(match(A153,'March 30 - M3 1006'!L:L,0),FALSE),"o","")</f>
        <v>o</v>
      </c>
    </row>
    <row r="154" ht="22.5" customHeight="1">
      <c r="A154" s="50" t="s">
        <v>110</v>
      </c>
      <c r="B154" s="56">
        <f t="shared" si="1"/>
        <v>3</v>
      </c>
      <c r="C154" s="52" t="str">
        <f>if(iferror(match(A154,'March 22 - RCH 301'!B:B,0),FALSE),"o","")</f>
        <v/>
      </c>
      <c r="D154" s="53" t="str">
        <f>if(iferror(match(A154,'March 22 - RCH 301'!G:G,0),FALSE),"o","")</f>
        <v>o</v>
      </c>
      <c r="E154" s="54" t="str">
        <f>if(iferror(match(A154,'March 22 - RCH 301'!L:L,0),FALSE),"o","")</f>
        <v/>
      </c>
      <c r="F154" s="55" t="str">
        <f>if(iferror(match(A154,'March 23 - M3 1006'!B:B,0),FALSE),"o","")</f>
        <v/>
      </c>
      <c r="G154" s="54" t="str">
        <f>if(iferror(match(A154,'March 23 - M3 1006'!G:G,0),FALSE),"o","")</f>
        <v>o</v>
      </c>
      <c r="H154" s="54" t="str">
        <f>if(iferror(match(A154,'March 23 - M3 1006'!L:L,0),FALSE),"o","")</f>
        <v/>
      </c>
      <c r="I154" s="55" t="str">
        <f>if(iferror(match(A154,'March 29 - M3 1006'!B:B,0),FALSE),"o","")</f>
        <v/>
      </c>
      <c r="J154" s="54" t="str">
        <f>if(iferror(match(A154,'March 29 - M3 1006'!G:G,0),FALSE),"o","")</f>
        <v>o</v>
      </c>
      <c r="K154" s="54" t="str">
        <f>if(iferror(match(A154,'March 29 - M3 1006'!L:L,0),FALSE),"o","")</f>
        <v/>
      </c>
      <c r="L154" s="55" t="str">
        <f>if(iferror(match(A154,'March 30 - M3 1006'!B:B,0),FALSE),"o","")</f>
        <v/>
      </c>
      <c r="M154" s="54" t="str">
        <f>if(iferror(match(A154,'March 30 - M3 1006'!G:G,0),FALSE),"o","")</f>
        <v/>
      </c>
      <c r="N154" s="54" t="str">
        <f>if(iferror(match(A154,'March 30 - M3 1006'!L:L,0),FALSE),"o","")</f>
        <v/>
      </c>
    </row>
    <row r="155" ht="22.5" customHeight="1">
      <c r="A155" s="50" t="s">
        <v>154</v>
      </c>
      <c r="B155" s="56">
        <f t="shared" si="1"/>
        <v>3</v>
      </c>
      <c r="C155" s="52" t="str">
        <f>if(iferror(match(A155,'March 22 - RCH 301'!B:B,0),FALSE),"o","")</f>
        <v/>
      </c>
      <c r="D155" s="53" t="str">
        <f>if(iferror(match(A155,'March 22 - RCH 301'!G:G,0),FALSE),"o","")</f>
        <v/>
      </c>
      <c r="E155" s="54" t="str">
        <f>if(iferror(match(A155,'March 22 - RCH 301'!L:L,0),FALSE),"o","")</f>
        <v/>
      </c>
      <c r="F155" s="55" t="str">
        <f>if(iferror(match(A155,'March 23 - M3 1006'!B:B,0),FALSE),"o","")</f>
        <v>o</v>
      </c>
      <c r="G155" s="54" t="str">
        <f>if(iferror(match(A155,'March 23 - M3 1006'!G:G,0),FALSE),"o","")</f>
        <v>o</v>
      </c>
      <c r="H155" s="54" t="str">
        <f>if(iferror(match(A155,'March 23 - M3 1006'!L:L,0),FALSE),"o","")</f>
        <v>o</v>
      </c>
      <c r="I155" s="55" t="str">
        <f>if(iferror(match(A155,'March 29 - M3 1006'!B:B,0),FALSE),"o","")</f>
        <v/>
      </c>
      <c r="J155" s="54" t="str">
        <f>if(iferror(match(A155,'March 29 - M3 1006'!G:G,0),FALSE),"o","")</f>
        <v/>
      </c>
      <c r="K155" s="54" t="str">
        <f>if(iferror(match(A155,'March 29 - M3 1006'!L:L,0),FALSE),"o","")</f>
        <v/>
      </c>
      <c r="L155" s="55" t="str">
        <f>if(iferror(match(A155,'March 30 - M3 1006'!B:B,0),FALSE),"o","")</f>
        <v/>
      </c>
      <c r="M155" s="54" t="str">
        <f>if(iferror(match(A155,'March 30 - M3 1006'!G:G,0),FALSE),"o","")</f>
        <v/>
      </c>
      <c r="N155" s="54" t="str">
        <f>if(iferror(match(A155,'March 30 - M3 1006'!L:L,0),FALSE),"o","")</f>
        <v/>
      </c>
    </row>
    <row r="156" ht="22.5" customHeight="1">
      <c r="A156" s="50" t="s">
        <v>209</v>
      </c>
      <c r="B156" s="56">
        <f t="shared" si="1"/>
        <v>3</v>
      </c>
      <c r="C156" s="52" t="str">
        <f>if(iferror(match(A156,'March 22 - RCH 301'!B:B,0),FALSE),"o","")</f>
        <v/>
      </c>
      <c r="D156" s="53" t="str">
        <f>if(iferror(match(A156,'March 22 - RCH 301'!G:G,0),FALSE),"o","")</f>
        <v/>
      </c>
      <c r="E156" s="54" t="str">
        <f>if(iferror(match(A156,'March 22 - RCH 301'!L:L,0),FALSE),"o","")</f>
        <v/>
      </c>
      <c r="F156" s="55" t="str">
        <f>if(iferror(match(A156,'March 23 - M3 1006'!B:B,0),FALSE),"o","")</f>
        <v/>
      </c>
      <c r="G156" s="54" t="str">
        <f>if(iferror(match(A156,'March 23 - M3 1006'!G:G,0),FALSE),"o","")</f>
        <v/>
      </c>
      <c r="H156" s="54" t="str">
        <f>if(iferror(match(A156,'March 23 - M3 1006'!L:L,0),FALSE),"o","")</f>
        <v/>
      </c>
      <c r="I156" s="55" t="str">
        <f>if(iferror(match(A156,'March 29 - M3 1006'!B:B,0),FALSE),"o","")</f>
        <v>o</v>
      </c>
      <c r="J156" s="54" t="str">
        <f>if(iferror(match(A156,'March 29 - M3 1006'!G:G,0),FALSE),"o","")</f>
        <v>o</v>
      </c>
      <c r="K156" s="54" t="str">
        <f>if(iferror(match(A156,'March 29 - M3 1006'!L:L,0),FALSE),"o","")</f>
        <v>o</v>
      </c>
      <c r="L156" s="55" t="str">
        <f>if(iferror(match(A156,'March 30 - M3 1006'!B:B,0),FALSE),"o","")</f>
        <v/>
      </c>
      <c r="M156" s="54" t="str">
        <f>if(iferror(match(A156,'March 30 - M3 1006'!G:G,0),FALSE),"o","")</f>
        <v/>
      </c>
      <c r="N156" s="54" t="str">
        <f>if(iferror(match(A156,'March 30 - M3 1006'!L:L,0),FALSE),"o","")</f>
        <v/>
      </c>
    </row>
    <row r="157" ht="22.5" customHeight="1">
      <c r="A157" s="50" t="s">
        <v>98</v>
      </c>
      <c r="B157" s="56">
        <f t="shared" si="1"/>
        <v>3</v>
      </c>
      <c r="C157" s="52" t="str">
        <f>if(iferror(match(A157,'March 22 - RCH 301'!B:B,0),FALSE),"o","")</f>
        <v>o</v>
      </c>
      <c r="D157" s="53" t="str">
        <f>if(iferror(match(A157,'March 22 - RCH 301'!G:G,0),FALSE),"o","")</f>
        <v>o</v>
      </c>
      <c r="E157" s="54" t="str">
        <f>if(iferror(match(A157,'March 22 - RCH 301'!L:L,0),FALSE),"o","")</f>
        <v>o</v>
      </c>
      <c r="F157" s="55" t="str">
        <f>if(iferror(match(A157,'March 23 - M3 1006'!B:B,0),FALSE),"o","")</f>
        <v/>
      </c>
      <c r="G157" s="54" t="str">
        <f>if(iferror(match(A157,'March 23 - M3 1006'!G:G,0),FALSE),"o","")</f>
        <v/>
      </c>
      <c r="H157" s="54" t="str">
        <f>if(iferror(match(A157,'March 23 - M3 1006'!L:L,0),FALSE),"o","")</f>
        <v/>
      </c>
      <c r="I157" s="55" t="str">
        <f>if(iferror(match(A157,'March 29 - M3 1006'!B:B,0),FALSE),"o","")</f>
        <v/>
      </c>
      <c r="J157" s="54" t="str">
        <f>if(iferror(match(A157,'March 29 - M3 1006'!G:G,0),FALSE),"o","")</f>
        <v/>
      </c>
      <c r="K157" s="54" t="str">
        <f>if(iferror(match(A157,'March 29 - M3 1006'!L:L,0),FALSE),"o","")</f>
        <v/>
      </c>
      <c r="L157" s="55" t="str">
        <f>if(iferror(match(A157,'March 30 - M3 1006'!B:B,0),FALSE),"o","")</f>
        <v/>
      </c>
      <c r="M157" s="54" t="str">
        <f>if(iferror(match(A157,'March 30 - M3 1006'!G:G,0),FALSE),"o","")</f>
        <v/>
      </c>
      <c r="N157" s="54" t="str">
        <f>if(iferror(match(A157,'March 30 - M3 1006'!L:L,0),FALSE),"o","")</f>
        <v/>
      </c>
    </row>
    <row r="158" ht="22.5" customHeight="1">
      <c r="A158" s="50" t="s">
        <v>150</v>
      </c>
      <c r="B158" s="56">
        <f t="shared" si="1"/>
        <v>3</v>
      </c>
      <c r="C158" s="52" t="str">
        <f>if(iferror(match(A158,'March 22 - RCH 301'!B:B,0),FALSE),"o","")</f>
        <v/>
      </c>
      <c r="D158" s="53" t="str">
        <f>if(iferror(match(A158,'March 22 - RCH 301'!G:G,0),FALSE),"o","")</f>
        <v/>
      </c>
      <c r="E158" s="54" t="str">
        <f>if(iferror(match(A158,'March 22 - RCH 301'!L:L,0),FALSE),"o","")</f>
        <v/>
      </c>
      <c r="F158" s="55" t="str">
        <f>if(iferror(match(A158,'March 23 - M3 1006'!B:B,0),FALSE),"o","")</f>
        <v/>
      </c>
      <c r="G158" s="54" t="str">
        <f>if(iferror(match(A158,'March 23 - M3 1006'!G:G,0),FALSE),"o","")</f>
        <v>o</v>
      </c>
      <c r="H158" s="54" t="str">
        <f>if(iferror(match(A158,'March 23 - M3 1006'!L:L,0),FALSE),"o","")</f>
        <v/>
      </c>
      <c r="I158" s="55" t="str">
        <f>if(iferror(match(A158,'March 29 - M3 1006'!B:B,0),FALSE),"o","")</f>
        <v>o</v>
      </c>
      <c r="J158" s="54" t="str">
        <f>if(iferror(match(A158,'March 29 - M3 1006'!G:G,0),FALSE),"o","")</f>
        <v/>
      </c>
      <c r="K158" s="54" t="str">
        <f>if(iferror(match(A158,'March 29 - M3 1006'!L:L,0),FALSE),"o","")</f>
        <v/>
      </c>
      <c r="L158" s="55" t="str">
        <f>if(iferror(match(A158,'March 30 - M3 1006'!B:B,0),FALSE),"o","")</f>
        <v>o</v>
      </c>
      <c r="M158" s="54" t="str">
        <f>if(iferror(match(A158,'March 30 - M3 1006'!G:G,0),FALSE),"o","")</f>
        <v/>
      </c>
      <c r="N158" s="54" t="str">
        <f>if(iferror(match(A158,'March 30 - M3 1006'!L:L,0),FALSE),"o","")</f>
        <v/>
      </c>
    </row>
    <row r="159" ht="22.5" customHeight="1">
      <c r="A159" s="50" t="s">
        <v>74</v>
      </c>
      <c r="B159" s="56">
        <f t="shared" si="1"/>
        <v>3</v>
      </c>
      <c r="C159" s="52" t="str">
        <f>if(iferror(match(A159,'March 22 - RCH 301'!B:B,0),FALSE),"o","")</f>
        <v>o</v>
      </c>
      <c r="D159" s="53" t="str">
        <f>if(iferror(match(A159,'March 22 - RCH 301'!G:G,0),FALSE),"o","")</f>
        <v>o</v>
      </c>
      <c r="E159" s="54" t="str">
        <f>if(iferror(match(A159,'March 22 - RCH 301'!L:L,0),FALSE),"o","")</f>
        <v/>
      </c>
      <c r="F159" s="55" t="str">
        <f>if(iferror(match(A159,'March 23 - M3 1006'!B:B,0),FALSE),"o","")</f>
        <v/>
      </c>
      <c r="G159" s="54" t="str">
        <f>if(iferror(match(A159,'March 23 - M3 1006'!G:G,0),FALSE),"o","")</f>
        <v/>
      </c>
      <c r="H159" s="54" t="str">
        <f>if(iferror(match(A159,'March 23 - M3 1006'!L:L,0),FALSE),"o","")</f>
        <v/>
      </c>
      <c r="I159" s="55" t="str">
        <f>if(iferror(match(A159,'March 29 - M3 1006'!B:B,0),FALSE),"o","")</f>
        <v>o</v>
      </c>
      <c r="J159" s="54" t="str">
        <f>if(iferror(match(A159,'March 29 - M3 1006'!G:G,0),FALSE),"o","")</f>
        <v/>
      </c>
      <c r="K159" s="54" t="str">
        <f>if(iferror(match(A159,'March 29 - M3 1006'!L:L,0),FALSE),"o","")</f>
        <v/>
      </c>
      <c r="L159" s="55" t="str">
        <f>if(iferror(match(A159,'March 30 - M3 1006'!B:B,0),FALSE),"o","")</f>
        <v/>
      </c>
      <c r="M159" s="54" t="str">
        <f>if(iferror(match(A159,'March 30 - M3 1006'!G:G,0),FALSE),"o","")</f>
        <v/>
      </c>
      <c r="N159" s="54" t="str">
        <f>if(iferror(match(A159,'March 30 - M3 1006'!L:L,0),FALSE),"o","")</f>
        <v/>
      </c>
    </row>
    <row r="160" ht="22.5" customHeight="1">
      <c r="A160" s="50" t="s">
        <v>70</v>
      </c>
      <c r="B160" s="56">
        <f t="shared" si="1"/>
        <v>3</v>
      </c>
      <c r="C160" s="52" t="str">
        <f>if(iferror(match(A160,'March 22 - RCH 301'!B:B,0),FALSE),"o","")</f>
        <v>o</v>
      </c>
      <c r="D160" s="53" t="str">
        <f>if(iferror(match(A160,'March 22 - RCH 301'!G:G,0),FALSE),"o","")</f>
        <v>o</v>
      </c>
      <c r="E160" s="54" t="str">
        <f>if(iferror(match(A160,'March 22 - RCH 301'!L:L,0),FALSE),"o","")</f>
        <v/>
      </c>
      <c r="F160" s="55" t="str">
        <f>if(iferror(match(A160,'March 23 - M3 1006'!B:B,0),FALSE),"o","")</f>
        <v>o</v>
      </c>
      <c r="G160" s="54" t="str">
        <f>if(iferror(match(A160,'March 23 - M3 1006'!G:G,0),FALSE),"o","")</f>
        <v/>
      </c>
      <c r="H160" s="54" t="str">
        <f>if(iferror(match(A160,'March 23 - M3 1006'!L:L,0),FALSE),"o","")</f>
        <v/>
      </c>
      <c r="I160" s="55" t="str">
        <f>if(iferror(match(A160,'March 29 - M3 1006'!B:B,0),FALSE),"o","")</f>
        <v/>
      </c>
      <c r="J160" s="54" t="str">
        <f>if(iferror(match(A160,'March 29 - M3 1006'!G:G,0),FALSE),"o","")</f>
        <v/>
      </c>
      <c r="K160" s="54" t="str">
        <f>if(iferror(match(A160,'March 29 - M3 1006'!L:L,0),FALSE),"o","")</f>
        <v/>
      </c>
      <c r="L160" s="55" t="str">
        <f>if(iferror(match(A160,'March 30 - M3 1006'!B:B,0),FALSE),"o","")</f>
        <v/>
      </c>
      <c r="M160" s="54" t="str">
        <f>if(iferror(match(A160,'March 30 - M3 1006'!G:G,0),FALSE),"o","")</f>
        <v/>
      </c>
      <c r="N160" s="54" t="str">
        <f>if(iferror(match(A160,'March 30 - M3 1006'!L:L,0),FALSE),"o","")</f>
        <v/>
      </c>
    </row>
    <row r="161" ht="22.5" customHeight="1">
      <c r="A161" s="50" t="s">
        <v>171</v>
      </c>
      <c r="B161" s="56">
        <f t="shared" si="1"/>
        <v>3</v>
      </c>
      <c r="C161" s="52" t="str">
        <f>if(iferror(match(A161,'March 22 - RCH 301'!B:B,0),FALSE),"o","")</f>
        <v/>
      </c>
      <c r="D161" s="53" t="str">
        <f>if(iferror(match(A161,'March 22 - RCH 301'!G:G,0),FALSE),"o","")</f>
        <v/>
      </c>
      <c r="E161" s="54" t="str">
        <f>if(iferror(match(A161,'March 22 - RCH 301'!L:L,0),FALSE),"o","")</f>
        <v/>
      </c>
      <c r="F161" s="55" t="str">
        <f>if(iferror(match(A161,'March 23 - M3 1006'!B:B,0),FALSE),"o","")</f>
        <v/>
      </c>
      <c r="G161" s="54" t="str">
        <f>if(iferror(match(A161,'March 23 - M3 1006'!G:G,0),FALSE),"o","")</f>
        <v>o</v>
      </c>
      <c r="H161" s="54" t="str">
        <f>if(iferror(match(A161,'March 23 - M3 1006'!L:L,0),FALSE),"o","")</f>
        <v/>
      </c>
      <c r="I161" s="55" t="str">
        <f>if(iferror(match(A161,'March 29 - M3 1006'!B:B,0),FALSE),"o","")</f>
        <v/>
      </c>
      <c r="J161" s="54" t="str">
        <f>if(iferror(match(A161,'March 29 - M3 1006'!G:G,0),FALSE),"o","")</f>
        <v>o</v>
      </c>
      <c r="K161" s="54" t="str">
        <f>if(iferror(match(A161,'March 29 - M3 1006'!L:L,0),FALSE),"o","")</f>
        <v/>
      </c>
      <c r="L161" s="55" t="str">
        <f>if(iferror(match(A161,'March 30 - M3 1006'!B:B,0),FALSE),"o","")</f>
        <v/>
      </c>
      <c r="M161" s="54" t="str">
        <f>if(iferror(match(A161,'March 30 - M3 1006'!G:G,0),FALSE),"o","")</f>
        <v>o</v>
      </c>
      <c r="N161" s="54" t="str">
        <f>if(iferror(match(A161,'March 30 - M3 1006'!L:L,0),FALSE),"o","")</f>
        <v/>
      </c>
    </row>
    <row r="162" ht="22.5" customHeight="1">
      <c r="A162" s="50" t="s">
        <v>227</v>
      </c>
      <c r="B162" s="56">
        <f t="shared" si="1"/>
        <v>3</v>
      </c>
      <c r="C162" s="52" t="str">
        <f>if(iferror(match(A162,'March 22 - RCH 301'!B:B,0),FALSE),"o","")</f>
        <v/>
      </c>
      <c r="D162" s="53" t="str">
        <f>if(iferror(match(A162,'March 22 - RCH 301'!G:G,0),FALSE),"o","")</f>
        <v/>
      </c>
      <c r="E162" s="54" t="str">
        <f>if(iferror(match(A162,'March 22 - RCH 301'!L:L,0),FALSE),"o","")</f>
        <v/>
      </c>
      <c r="F162" s="55" t="str">
        <f>if(iferror(match(A162,'March 23 - M3 1006'!B:B,0),FALSE),"o","")</f>
        <v/>
      </c>
      <c r="G162" s="54" t="str">
        <f>if(iferror(match(A162,'March 23 - M3 1006'!G:G,0),FALSE),"o","")</f>
        <v/>
      </c>
      <c r="H162" s="54" t="str">
        <f>if(iferror(match(A162,'March 23 - M3 1006'!L:L,0),FALSE),"o","")</f>
        <v/>
      </c>
      <c r="I162" s="55" t="str">
        <f>if(iferror(match(A162,'March 29 - M3 1006'!B:B,0),FALSE),"o","")</f>
        <v/>
      </c>
      <c r="J162" s="54" t="str">
        <f>if(iferror(match(A162,'March 29 - M3 1006'!G:G,0),FALSE),"o","")</f>
        <v/>
      </c>
      <c r="K162" s="54" t="str">
        <f>if(iferror(match(A162,'March 29 - M3 1006'!L:L,0),FALSE),"o","")</f>
        <v/>
      </c>
      <c r="L162" s="55" t="str">
        <f>if(iferror(match(A162,'March 30 - M3 1006'!B:B,0),FALSE),"o","")</f>
        <v>o</v>
      </c>
      <c r="M162" s="54" t="str">
        <f>if(iferror(match(A162,'March 30 - M3 1006'!G:G,0),FALSE),"o","")</f>
        <v>o</v>
      </c>
      <c r="N162" s="54" t="str">
        <f>if(iferror(match(A162,'March 30 - M3 1006'!L:L,0),FALSE),"o","")</f>
        <v>o</v>
      </c>
    </row>
    <row r="163" ht="22.5" customHeight="1">
      <c r="A163" s="57" t="s">
        <v>92</v>
      </c>
      <c r="B163" s="56">
        <f t="shared" si="1"/>
        <v>3</v>
      </c>
      <c r="C163" s="52" t="str">
        <f>if(iferror(match(A163,'March 22 - RCH 301'!B:B,0),FALSE),"o","")</f>
        <v>o</v>
      </c>
      <c r="D163" s="53" t="str">
        <f>if(iferror(match(A163,'March 22 - RCH 301'!G:G,0),FALSE),"o","")</f>
        <v/>
      </c>
      <c r="E163" s="54" t="str">
        <f>if(iferror(match(A163,'March 22 - RCH 301'!L:L,0),FALSE),"o","")</f>
        <v/>
      </c>
      <c r="F163" s="55" t="str">
        <f>if(iferror(match(A163,'March 23 - M3 1006'!B:B,0),FALSE),"o","")</f>
        <v/>
      </c>
      <c r="G163" s="54" t="str">
        <f>if(iferror(match(A163,'March 23 - M3 1006'!G:G,0),FALSE),"o","")</f>
        <v/>
      </c>
      <c r="H163" s="54" t="str">
        <f>if(iferror(match(A163,'March 23 - M3 1006'!L:L,0),FALSE),"o","")</f>
        <v>o</v>
      </c>
      <c r="I163" s="55" t="str">
        <f>if(iferror(match(A163,'March 29 - M3 1006'!B:B,0),FALSE),"o","")</f>
        <v/>
      </c>
      <c r="J163" s="54" t="str">
        <f>if(iferror(match(A163,'March 29 - M3 1006'!G:G,0),FALSE),"o","")</f>
        <v/>
      </c>
      <c r="K163" s="54" t="str">
        <f>if(iferror(match(A163,'March 29 - M3 1006'!L:L,0),FALSE),"o","")</f>
        <v/>
      </c>
      <c r="L163" s="55" t="str">
        <f>if(iferror(match(A163,'March 30 - M3 1006'!B:B,0),FALSE),"o","")</f>
        <v/>
      </c>
      <c r="M163" s="54" t="str">
        <f>if(iferror(match(A163,'March 30 - M3 1006'!G:G,0),FALSE),"o","")</f>
        <v/>
      </c>
      <c r="N163" s="54" t="str">
        <f>if(iferror(match(A163,'March 30 - M3 1006'!L:L,0),FALSE),"o","")</f>
        <v>o</v>
      </c>
    </row>
    <row r="164" ht="22.5" customHeight="1">
      <c r="A164" s="50" t="s">
        <v>105</v>
      </c>
      <c r="B164" s="56">
        <f t="shared" si="1"/>
        <v>3</v>
      </c>
      <c r="C164" s="52" t="str">
        <f>if(iferror(match(A164,'March 22 - RCH 301'!B:B,0),FALSE),"o","")</f>
        <v>o</v>
      </c>
      <c r="D164" s="53" t="str">
        <f>if(iferror(match(A164,'March 22 - RCH 301'!G:G,0),FALSE),"o","")</f>
        <v>o</v>
      </c>
      <c r="E164" s="54" t="str">
        <f>if(iferror(match(A164,'March 22 - RCH 301'!L:L,0),FALSE),"o","")</f>
        <v>o</v>
      </c>
      <c r="F164" s="55" t="str">
        <f>if(iferror(match(A164,'March 23 - M3 1006'!B:B,0),FALSE),"o","")</f>
        <v/>
      </c>
      <c r="G164" s="54" t="str">
        <f>if(iferror(match(A164,'March 23 - M3 1006'!G:G,0),FALSE),"o","")</f>
        <v/>
      </c>
      <c r="H164" s="54" t="str">
        <f>if(iferror(match(A164,'March 23 - M3 1006'!L:L,0),FALSE),"o","")</f>
        <v/>
      </c>
      <c r="I164" s="55" t="str">
        <f>if(iferror(match(A164,'March 29 - M3 1006'!B:B,0),FALSE),"o","")</f>
        <v/>
      </c>
      <c r="J164" s="54" t="str">
        <f>if(iferror(match(A164,'March 29 - M3 1006'!G:G,0),FALSE),"o","")</f>
        <v/>
      </c>
      <c r="K164" s="54" t="str">
        <f>if(iferror(match(A164,'March 29 - M3 1006'!L:L,0),FALSE),"o","")</f>
        <v/>
      </c>
      <c r="L164" s="55" t="str">
        <f>if(iferror(match(A164,'March 30 - M3 1006'!B:B,0),FALSE),"o","")</f>
        <v/>
      </c>
      <c r="M164" s="54" t="str">
        <f>if(iferror(match(A164,'March 30 - M3 1006'!G:G,0),FALSE),"o","")</f>
        <v/>
      </c>
      <c r="N164" s="54" t="str">
        <f>if(iferror(match(A164,'March 30 - M3 1006'!L:L,0),FALSE),"o","")</f>
        <v/>
      </c>
    </row>
    <row r="165" ht="22.5" customHeight="1">
      <c r="A165" s="50" t="s">
        <v>196</v>
      </c>
      <c r="B165" s="56">
        <f t="shared" si="1"/>
        <v>3</v>
      </c>
      <c r="C165" s="52" t="str">
        <f>if(iferror(match(A165,'March 22 - RCH 301'!B:B,0),FALSE),"o","")</f>
        <v/>
      </c>
      <c r="D165" s="53" t="str">
        <f>if(iferror(match(A165,'March 22 - RCH 301'!G:G,0),FALSE),"o","")</f>
        <v/>
      </c>
      <c r="E165" s="54" t="str">
        <f>if(iferror(match(A165,'March 22 - RCH 301'!L:L,0),FALSE),"o","")</f>
        <v/>
      </c>
      <c r="F165" s="55" t="str">
        <f>if(iferror(match(A165,'March 23 - M3 1006'!B:B,0),FALSE),"o","")</f>
        <v/>
      </c>
      <c r="G165" s="54" t="str">
        <f>if(iferror(match(A165,'March 23 - M3 1006'!G:G,0),FALSE),"o","")</f>
        <v/>
      </c>
      <c r="H165" s="54" t="str">
        <f>if(iferror(match(A165,'March 23 - M3 1006'!L:L,0),FALSE),"o","")</f>
        <v/>
      </c>
      <c r="I165" s="55" t="str">
        <f>if(iferror(match(A165,'March 29 - M3 1006'!B:B,0),FALSE),"o","")</f>
        <v>o</v>
      </c>
      <c r="J165" s="54" t="str">
        <f>if(iferror(match(A165,'March 29 - M3 1006'!G:G,0),FALSE),"o","")</f>
        <v>o</v>
      </c>
      <c r="K165" s="54" t="str">
        <f>if(iferror(match(A165,'March 29 - M3 1006'!L:L,0),FALSE),"o","")</f>
        <v>o</v>
      </c>
      <c r="L165" s="55" t="str">
        <f>if(iferror(match(A165,'March 30 - M3 1006'!B:B,0),FALSE),"o","")</f>
        <v/>
      </c>
      <c r="M165" s="54" t="str">
        <f>if(iferror(match(A165,'March 30 - M3 1006'!G:G,0),FALSE),"o","")</f>
        <v/>
      </c>
      <c r="N165" s="54" t="str">
        <f>if(iferror(match(A165,'March 30 - M3 1006'!L:L,0),FALSE),"o","")</f>
        <v/>
      </c>
    </row>
    <row r="166" ht="22.5" customHeight="1">
      <c r="A166" s="50" t="s">
        <v>12</v>
      </c>
      <c r="B166" s="56">
        <f t="shared" si="1"/>
        <v>3</v>
      </c>
      <c r="C166" s="52" t="str">
        <f>if(iferror(match(A166,'March 22 - RCH 301'!B:B,0),FALSE),"o","")</f>
        <v>o</v>
      </c>
      <c r="D166" s="53" t="str">
        <f>if(iferror(match(A166,'March 22 - RCH 301'!G:G,0),FALSE),"o","")</f>
        <v/>
      </c>
      <c r="E166" s="54" t="str">
        <f>if(iferror(match(A166,'March 22 - RCH 301'!L:L,0),FALSE),"o","")</f>
        <v/>
      </c>
      <c r="F166" s="55" t="str">
        <f>if(iferror(match(A166,'March 23 - M3 1006'!B:B,0),FALSE),"o","")</f>
        <v>o</v>
      </c>
      <c r="G166" s="54" t="str">
        <f>if(iferror(match(A166,'March 23 - M3 1006'!G:G,0),FALSE),"o","")</f>
        <v/>
      </c>
      <c r="H166" s="54" t="str">
        <f>if(iferror(match(A166,'March 23 - M3 1006'!L:L,0),FALSE),"o","")</f>
        <v/>
      </c>
      <c r="I166" s="55" t="str">
        <f>if(iferror(match(A166,'March 29 - M3 1006'!B:B,0),FALSE),"o","")</f>
        <v>o</v>
      </c>
      <c r="J166" s="54" t="str">
        <f>if(iferror(match(A166,'March 29 - M3 1006'!G:G,0),FALSE),"o","")</f>
        <v/>
      </c>
      <c r="K166" s="54" t="str">
        <f>if(iferror(match(A166,'March 29 - M3 1006'!L:L,0),FALSE),"o","")</f>
        <v/>
      </c>
      <c r="L166" s="55" t="str">
        <f>if(iferror(match(A166,'March 30 - M3 1006'!B:B,0),FALSE),"o","")</f>
        <v/>
      </c>
      <c r="M166" s="54" t="str">
        <f>if(iferror(match(A166,'March 30 - M3 1006'!G:G,0),FALSE),"o","")</f>
        <v/>
      </c>
      <c r="N166" s="54" t="str">
        <f>if(iferror(match(A166,'March 30 - M3 1006'!L:L,0),FALSE),"o","")</f>
        <v/>
      </c>
    </row>
    <row r="167" ht="22.5" customHeight="1">
      <c r="A167" s="50" t="s">
        <v>217</v>
      </c>
      <c r="B167" s="56">
        <f t="shared" si="1"/>
        <v>3</v>
      </c>
      <c r="C167" s="52" t="str">
        <f>if(iferror(match(A167,'March 22 - RCH 301'!B:B,0),FALSE),"o","")</f>
        <v/>
      </c>
      <c r="D167" s="53" t="str">
        <f>if(iferror(match(A167,'March 22 - RCH 301'!G:G,0),FALSE),"o","")</f>
        <v/>
      </c>
      <c r="E167" s="54" t="str">
        <f>if(iferror(match(A167,'March 22 - RCH 301'!L:L,0),FALSE),"o","")</f>
        <v/>
      </c>
      <c r="F167" s="55" t="str">
        <f>if(iferror(match(A167,'March 23 - M3 1006'!B:B,0),FALSE),"o","")</f>
        <v/>
      </c>
      <c r="G167" s="54" t="str">
        <f>if(iferror(match(A167,'March 23 - M3 1006'!G:G,0),FALSE),"o","")</f>
        <v/>
      </c>
      <c r="H167" s="54" t="str">
        <f>if(iferror(match(A167,'March 23 - M3 1006'!L:L,0),FALSE),"o","")</f>
        <v/>
      </c>
      <c r="I167" s="55" t="str">
        <f>if(iferror(match(A167,'March 29 - M3 1006'!B:B,0),FALSE),"o","")</f>
        <v>o</v>
      </c>
      <c r="J167" s="54" t="str">
        <f>if(iferror(match(A167,'March 29 - M3 1006'!G:G,0),FALSE),"o","")</f>
        <v>o</v>
      </c>
      <c r="K167" s="54" t="str">
        <f>if(iferror(match(A167,'March 29 - M3 1006'!L:L,0),FALSE),"o","")</f>
        <v/>
      </c>
      <c r="L167" s="55" t="str">
        <f>if(iferror(match(A167,'March 30 - M3 1006'!B:B,0),FALSE),"o","")</f>
        <v/>
      </c>
      <c r="M167" s="54" t="str">
        <f>if(iferror(match(A167,'March 30 - M3 1006'!G:G,0),FALSE),"o","")</f>
        <v>o</v>
      </c>
      <c r="N167" s="54" t="str">
        <f>if(iferror(match(A167,'March 30 - M3 1006'!L:L,0),FALSE),"o","")</f>
        <v/>
      </c>
    </row>
    <row r="168" ht="22.5" customHeight="1">
      <c r="A168" s="50" t="s">
        <v>113</v>
      </c>
      <c r="B168" s="56">
        <f t="shared" si="1"/>
        <v>4</v>
      </c>
      <c r="C168" s="52" t="str">
        <f>if(iferror(match(A168,'March 22 - RCH 301'!B:B,0),FALSE),"o","")</f>
        <v/>
      </c>
      <c r="D168" s="53" t="str">
        <f>if(iferror(match(A168,'March 22 - RCH 301'!G:G,0),FALSE),"o","")</f>
        <v>o</v>
      </c>
      <c r="E168" s="54" t="str">
        <f>if(iferror(match(A168,'March 22 - RCH 301'!L:L,0),FALSE),"o","")</f>
        <v/>
      </c>
      <c r="F168" s="55" t="str">
        <f>if(iferror(match(A168,'March 23 - M3 1006'!B:B,0),FALSE),"o","")</f>
        <v/>
      </c>
      <c r="G168" s="54" t="str">
        <f>if(iferror(match(A168,'March 23 - M3 1006'!G:G,0),FALSE),"o","")</f>
        <v>o</v>
      </c>
      <c r="H168" s="54" t="str">
        <f>if(iferror(match(A168,'March 23 - M3 1006'!L:L,0),FALSE),"o","")</f>
        <v/>
      </c>
      <c r="I168" s="55" t="str">
        <f>if(iferror(match(A168,'March 29 - M3 1006'!B:B,0),FALSE),"o","")</f>
        <v/>
      </c>
      <c r="J168" s="54" t="str">
        <f>if(iferror(match(A168,'March 29 - M3 1006'!G:G,0),FALSE),"o","")</f>
        <v>o</v>
      </c>
      <c r="K168" s="54" t="str">
        <f>if(iferror(match(A168,'March 29 - M3 1006'!L:L,0),FALSE),"o","")</f>
        <v/>
      </c>
      <c r="L168" s="55" t="str">
        <f>if(iferror(match(A168,'March 30 - M3 1006'!B:B,0),FALSE),"o","")</f>
        <v/>
      </c>
      <c r="M168" s="54" t="str">
        <f>if(iferror(match(A168,'March 30 - M3 1006'!G:G,0),FALSE),"o","")</f>
        <v>o</v>
      </c>
      <c r="N168" s="54" t="str">
        <f>if(iferror(match(A168,'March 30 - M3 1006'!L:L,0),FALSE),"o","")</f>
        <v/>
      </c>
    </row>
    <row r="169" ht="22.5" customHeight="1">
      <c r="A169" s="50" t="s">
        <v>169</v>
      </c>
      <c r="B169" s="56">
        <f t="shared" si="1"/>
        <v>4</v>
      </c>
      <c r="C169" s="52" t="str">
        <f>if(iferror(match(A169,'March 22 - RCH 301'!B:B,0),FALSE),"o","")</f>
        <v/>
      </c>
      <c r="D169" s="53" t="str">
        <f>if(iferror(match(A169,'March 22 - RCH 301'!G:G,0),FALSE),"o","")</f>
        <v/>
      </c>
      <c r="E169" s="54" t="str">
        <f>if(iferror(match(A169,'March 22 - RCH 301'!L:L,0),FALSE),"o","")</f>
        <v/>
      </c>
      <c r="F169" s="55" t="str">
        <f>if(iferror(match(A169,'March 23 - M3 1006'!B:B,0),FALSE),"o","")</f>
        <v/>
      </c>
      <c r="G169" s="54" t="str">
        <f>if(iferror(match(A169,'March 23 - M3 1006'!G:G,0),FALSE),"o","")</f>
        <v/>
      </c>
      <c r="H169" s="54" t="str">
        <f>if(iferror(match(A169,'March 23 - M3 1006'!L:L,0),FALSE),"o","")</f>
        <v>o</v>
      </c>
      <c r="I169" s="55" t="str">
        <f>if(iferror(match(A169,'March 29 - M3 1006'!B:B,0),FALSE),"o","")</f>
        <v/>
      </c>
      <c r="J169" s="54" t="str">
        <f>if(iferror(match(A169,'March 29 - M3 1006'!G:G,0),FALSE),"o","")</f>
        <v/>
      </c>
      <c r="K169" s="54" t="str">
        <f>if(iferror(match(A169,'March 29 - M3 1006'!L:L,0),FALSE),"o","")</f>
        <v/>
      </c>
      <c r="L169" s="55" t="str">
        <f>if(iferror(match(A169,'March 30 - M3 1006'!B:B,0),FALSE),"o","")</f>
        <v>o</v>
      </c>
      <c r="M169" s="54" t="str">
        <f>if(iferror(match(A169,'March 30 - M3 1006'!G:G,0),FALSE),"o","")</f>
        <v>o</v>
      </c>
      <c r="N169" s="54" t="str">
        <f>if(iferror(match(A169,'March 30 - M3 1006'!L:L,0),FALSE),"o","")</f>
        <v>o</v>
      </c>
    </row>
    <row r="170" ht="22.5" customHeight="1">
      <c r="A170" s="50" t="s">
        <v>114</v>
      </c>
      <c r="B170" s="56">
        <f t="shared" si="1"/>
        <v>3</v>
      </c>
      <c r="C170" s="52" t="str">
        <f>if(iferror(match(A170,'March 22 - RCH 301'!B:B,0),FALSE),"o","")</f>
        <v>o</v>
      </c>
      <c r="D170" s="53" t="str">
        <f>if(iferror(match(A170,'March 22 - RCH 301'!G:G,0),FALSE),"o","")</f>
        <v/>
      </c>
      <c r="E170" s="54" t="str">
        <f>if(iferror(match(A170,'March 22 - RCH 301'!L:L,0),FALSE),"o","")</f>
        <v/>
      </c>
      <c r="F170" s="55" t="str">
        <f>if(iferror(match(A170,'March 23 - M3 1006'!B:B,0),FALSE),"o","")</f>
        <v>o</v>
      </c>
      <c r="G170" s="54" t="str">
        <f>if(iferror(match(A170,'March 23 - M3 1006'!G:G,0),FALSE),"o","")</f>
        <v/>
      </c>
      <c r="H170" s="54" t="str">
        <f>if(iferror(match(A170,'March 23 - M3 1006'!L:L,0),FALSE),"o","")</f>
        <v/>
      </c>
      <c r="I170" s="55" t="str">
        <f>if(iferror(match(A170,'March 29 - M3 1006'!B:B,0),FALSE),"o","")</f>
        <v>o</v>
      </c>
      <c r="J170" s="54" t="str">
        <f>if(iferror(match(A170,'March 29 - M3 1006'!G:G,0),FALSE),"o","")</f>
        <v/>
      </c>
      <c r="K170" s="54" t="str">
        <f>if(iferror(match(A170,'March 29 - M3 1006'!L:L,0),FALSE),"o","")</f>
        <v/>
      </c>
      <c r="L170" s="55" t="str">
        <f>if(iferror(match(A170,'March 30 - M3 1006'!B:B,0),FALSE),"o","")</f>
        <v/>
      </c>
      <c r="M170" s="54" t="str">
        <f>if(iferror(match(A170,'March 30 - M3 1006'!G:G,0),FALSE),"o","")</f>
        <v/>
      </c>
      <c r="N170" s="54" t="str">
        <f>if(iferror(match(A170,'March 30 - M3 1006'!L:L,0),FALSE),"o","")</f>
        <v/>
      </c>
    </row>
    <row r="171" ht="22.5" customHeight="1">
      <c r="A171" s="50" t="s">
        <v>77</v>
      </c>
      <c r="B171" s="56">
        <f t="shared" si="1"/>
        <v>3</v>
      </c>
      <c r="C171" s="52" t="str">
        <f>if(iferror(match(A171,'March 22 - RCH 301'!B:B,0),FALSE),"o","")</f>
        <v/>
      </c>
      <c r="D171" s="53" t="str">
        <f>if(iferror(match(A171,'March 22 - RCH 301'!G:G,0),FALSE),"o","")</f>
        <v/>
      </c>
      <c r="E171" s="54" t="str">
        <f>if(iferror(match(A171,'March 22 - RCH 301'!L:L,0),FALSE),"o","")</f>
        <v>o</v>
      </c>
      <c r="F171" s="55" t="str">
        <f>if(iferror(match(A171,'March 23 - M3 1006'!B:B,0),FALSE),"o","")</f>
        <v>o</v>
      </c>
      <c r="G171" s="54" t="str">
        <f>if(iferror(match(A171,'March 23 - M3 1006'!G:G,0),FALSE),"o","")</f>
        <v>o</v>
      </c>
      <c r="H171" s="54" t="str">
        <f>if(iferror(match(A171,'March 23 - M3 1006'!L:L,0),FALSE),"o","")</f>
        <v/>
      </c>
      <c r="I171" s="55" t="str">
        <f>if(iferror(match(A171,'March 29 - M3 1006'!B:B,0),FALSE),"o","")</f>
        <v/>
      </c>
      <c r="J171" s="54" t="str">
        <f>if(iferror(match(A171,'March 29 - M3 1006'!G:G,0),FALSE),"o","")</f>
        <v/>
      </c>
      <c r="K171" s="54" t="str">
        <f>if(iferror(match(A171,'March 29 - M3 1006'!L:L,0),FALSE),"o","")</f>
        <v/>
      </c>
      <c r="L171" s="55" t="str">
        <f>if(iferror(match(A171,'March 30 - M3 1006'!B:B,0),FALSE),"o","")</f>
        <v/>
      </c>
      <c r="M171" s="54" t="str">
        <f>if(iferror(match(A171,'March 30 - M3 1006'!G:G,0),FALSE),"o","")</f>
        <v/>
      </c>
      <c r="N171" s="54" t="str">
        <f>if(iferror(match(A171,'March 30 - M3 1006'!L:L,0),FALSE),"o","")</f>
        <v/>
      </c>
    </row>
    <row r="172" ht="22.5" customHeight="1">
      <c r="A172" s="50" t="s">
        <v>155</v>
      </c>
      <c r="B172" s="56">
        <f t="shared" si="1"/>
        <v>3</v>
      </c>
      <c r="C172" s="52" t="str">
        <f>if(iferror(match(A172,'March 22 - RCH 301'!B:B,0),FALSE),"o","")</f>
        <v/>
      </c>
      <c r="D172" s="53" t="str">
        <f>if(iferror(match(A172,'March 22 - RCH 301'!G:G,0),FALSE),"o","")</f>
        <v/>
      </c>
      <c r="E172" s="54" t="str">
        <f>if(iferror(match(A172,'March 22 - RCH 301'!L:L,0),FALSE),"o","")</f>
        <v/>
      </c>
      <c r="F172" s="55" t="str">
        <f>if(iferror(match(A172,'March 23 - M3 1006'!B:B,0),FALSE),"o","")</f>
        <v/>
      </c>
      <c r="G172" s="54" t="str">
        <f>if(iferror(match(A172,'March 23 - M3 1006'!G:G,0),FALSE),"o","")</f>
        <v>o</v>
      </c>
      <c r="H172" s="54" t="str">
        <f>if(iferror(match(A172,'March 23 - M3 1006'!L:L,0),FALSE),"o","")</f>
        <v/>
      </c>
      <c r="I172" s="55" t="str">
        <f>if(iferror(match(A172,'March 29 - M3 1006'!B:B,0),FALSE),"o","")</f>
        <v/>
      </c>
      <c r="J172" s="54" t="str">
        <f>if(iferror(match(A172,'March 29 - M3 1006'!G:G,0),FALSE),"o","")</f>
        <v/>
      </c>
      <c r="K172" s="54" t="str">
        <f>if(iferror(match(A172,'March 29 - M3 1006'!L:L,0),FALSE),"o","")</f>
        <v/>
      </c>
      <c r="L172" s="55" t="str">
        <f>if(iferror(match(A172,'March 30 - M3 1006'!B:B,0),FALSE),"o","")</f>
        <v>o</v>
      </c>
      <c r="M172" s="54" t="str">
        <f>if(iferror(match(A172,'March 30 - M3 1006'!G:G,0),FALSE),"o","")</f>
        <v>o</v>
      </c>
      <c r="N172" s="54" t="str">
        <f>if(iferror(match(A172,'March 30 - M3 1006'!L:L,0),FALSE),"o","")</f>
        <v/>
      </c>
    </row>
    <row r="173" ht="22.5" customHeight="1">
      <c r="A173" s="50" t="s">
        <v>111</v>
      </c>
      <c r="B173" s="56">
        <f t="shared" si="1"/>
        <v>4</v>
      </c>
      <c r="C173" s="52" t="str">
        <f>if(iferror(match(A173,'March 22 - RCH 301'!B:B,0),FALSE),"o","")</f>
        <v>o</v>
      </c>
      <c r="D173" s="53" t="str">
        <f>if(iferror(match(A173,'March 22 - RCH 301'!G:G,0),FALSE),"o","")</f>
        <v>o</v>
      </c>
      <c r="E173" s="54" t="str">
        <f>if(iferror(match(A173,'March 22 - RCH 301'!L:L,0),FALSE),"o","")</f>
        <v/>
      </c>
      <c r="F173" s="55" t="str">
        <f>if(iferror(match(A173,'March 23 - M3 1006'!B:B,0),FALSE),"o","")</f>
        <v>o</v>
      </c>
      <c r="G173" s="54" t="str">
        <f>if(iferror(match(A173,'March 23 - M3 1006'!G:G,0),FALSE),"o","")</f>
        <v>o</v>
      </c>
      <c r="H173" s="54" t="str">
        <f>if(iferror(match(A173,'March 23 - M3 1006'!L:L,0),FALSE),"o","")</f>
        <v/>
      </c>
      <c r="I173" s="55" t="str">
        <f>if(iferror(match(A173,'March 29 - M3 1006'!B:B,0),FALSE),"o","")</f>
        <v/>
      </c>
      <c r="J173" s="54" t="str">
        <f>if(iferror(match(A173,'March 29 - M3 1006'!G:G,0),FALSE),"o","")</f>
        <v/>
      </c>
      <c r="K173" s="54" t="str">
        <f>if(iferror(match(A173,'March 29 - M3 1006'!L:L,0),FALSE),"o","")</f>
        <v/>
      </c>
      <c r="L173" s="55" t="str">
        <f>if(iferror(match(A173,'March 30 - M3 1006'!B:B,0),FALSE),"o","")</f>
        <v/>
      </c>
      <c r="M173" s="54" t="str">
        <f>if(iferror(match(A173,'March 30 - M3 1006'!G:G,0),FALSE),"o","")</f>
        <v/>
      </c>
      <c r="N173" s="54" t="str">
        <f>if(iferror(match(A173,'March 30 - M3 1006'!L:L,0),FALSE),"o","")</f>
        <v/>
      </c>
    </row>
    <row r="174" ht="22.5" customHeight="1">
      <c r="A174" s="50" t="s">
        <v>108</v>
      </c>
      <c r="B174" s="56">
        <f t="shared" si="1"/>
        <v>3</v>
      </c>
      <c r="C174" s="52" t="str">
        <f>if(iferror(match(A174,'March 22 - RCH 301'!B:B,0),FALSE),"o","")</f>
        <v/>
      </c>
      <c r="D174" s="53" t="str">
        <f>if(iferror(match(A174,'March 22 - RCH 301'!G:G,0),FALSE),"o","")</f>
        <v/>
      </c>
      <c r="E174" s="54" t="str">
        <f>if(iferror(match(A174,'March 22 - RCH 301'!L:L,0),FALSE),"o","")</f>
        <v>o</v>
      </c>
      <c r="F174" s="55" t="str">
        <f>if(iferror(match(A174,'March 23 - M3 1006'!B:B,0),FALSE),"o","")</f>
        <v/>
      </c>
      <c r="G174" s="54" t="str">
        <f>if(iferror(match(A174,'March 23 - M3 1006'!G:G,0),FALSE),"o","")</f>
        <v>o</v>
      </c>
      <c r="H174" s="54" t="str">
        <f>if(iferror(match(A174,'March 23 - M3 1006'!L:L,0),FALSE),"o","")</f>
        <v/>
      </c>
      <c r="I174" s="55" t="str">
        <f>if(iferror(match(A174,'March 29 - M3 1006'!B:B,0),FALSE),"o","")</f>
        <v/>
      </c>
      <c r="J174" s="54" t="str">
        <f>if(iferror(match(A174,'March 29 - M3 1006'!G:G,0),FALSE),"o","")</f>
        <v>o</v>
      </c>
      <c r="K174" s="54" t="str">
        <f>if(iferror(match(A174,'March 29 - M3 1006'!L:L,0),FALSE),"o","")</f>
        <v/>
      </c>
      <c r="L174" s="55" t="str">
        <f>if(iferror(match(A174,'March 30 - M3 1006'!B:B,0),FALSE),"o","")</f>
        <v/>
      </c>
      <c r="M174" s="54" t="str">
        <f>if(iferror(match(A174,'March 30 - M3 1006'!G:G,0),FALSE),"o","")</f>
        <v/>
      </c>
      <c r="N174" s="54" t="str">
        <f>if(iferror(match(A174,'March 30 - M3 1006'!L:L,0),FALSE),"o","")</f>
        <v/>
      </c>
    </row>
    <row r="175" ht="22.5" customHeight="1">
      <c r="A175" s="50" t="s">
        <v>104</v>
      </c>
      <c r="B175" s="56">
        <f t="shared" si="1"/>
        <v>3</v>
      </c>
      <c r="C175" s="52" t="str">
        <f>if(iferror(match(A175,'March 22 - RCH 301'!B:B,0),FALSE),"o","")</f>
        <v>o</v>
      </c>
      <c r="D175" s="53" t="str">
        <f>if(iferror(match(A175,'March 22 - RCH 301'!G:G,0),FALSE),"o","")</f>
        <v>o</v>
      </c>
      <c r="E175" s="54" t="str">
        <f>if(iferror(match(A175,'March 22 - RCH 301'!L:L,0),FALSE),"o","")</f>
        <v/>
      </c>
      <c r="F175" s="55" t="str">
        <f>if(iferror(match(A175,'March 23 - M3 1006'!B:B,0),FALSE),"o","")</f>
        <v>o</v>
      </c>
      <c r="G175" s="54" t="str">
        <f>if(iferror(match(A175,'March 23 - M3 1006'!G:G,0),FALSE),"o","")</f>
        <v/>
      </c>
      <c r="H175" s="54" t="str">
        <f>if(iferror(match(A175,'March 23 - M3 1006'!L:L,0),FALSE),"o","")</f>
        <v/>
      </c>
      <c r="I175" s="55" t="str">
        <f>if(iferror(match(A175,'March 29 - M3 1006'!B:B,0),FALSE),"o","")</f>
        <v/>
      </c>
      <c r="J175" s="54" t="str">
        <f>if(iferror(match(A175,'March 29 - M3 1006'!G:G,0),FALSE),"o","")</f>
        <v/>
      </c>
      <c r="K175" s="54" t="str">
        <f>if(iferror(match(A175,'March 29 - M3 1006'!L:L,0),FALSE),"o","")</f>
        <v/>
      </c>
      <c r="L175" s="55" t="str">
        <f>if(iferror(match(A175,'March 30 - M3 1006'!B:B,0),FALSE),"o","")</f>
        <v/>
      </c>
      <c r="M175" s="54" t="str">
        <f>if(iferror(match(A175,'March 30 - M3 1006'!G:G,0),FALSE),"o","")</f>
        <v/>
      </c>
      <c r="N175" s="54" t="str">
        <f>if(iferror(match(A175,'March 30 - M3 1006'!L:L,0),FALSE),"o","")</f>
        <v/>
      </c>
    </row>
    <row r="176" ht="22.5" customHeight="1">
      <c r="A176" s="50" t="s">
        <v>101</v>
      </c>
      <c r="B176" s="56">
        <f t="shared" si="1"/>
        <v>3</v>
      </c>
      <c r="C176" s="52" t="str">
        <f>if(iferror(match(A176,'March 22 - RCH 301'!B:B,0),FALSE),"o","")</f>
        <v>o</v>
      </c>
      <c r="D176" s="53" t="str">
        <f>if(iferror(match(A176,'March 22 - RCH 301'!G:G,0),FALSE),"o","")</f>
        <v>o</v>
      </c>
      <c r="E176" s="54" t="str">
        <f>if(iferror(match(A176,'March 22 - RCH 301'!L:L,0),FALSE),"o","")</f>
        <v/>
      </c>
      <c r="F176" s="55" t="str">
        <f>if(iferror(match(A176,'March 23 - M3 1006'!B:B,0),FALSE),"o","")</f>
        <v/>
      </c>
      <c r="G176" s="54" t="str">
        <f>if(iferror(match(A176,'March 23 - M3 1006'!G:G,0),FALSE),"o","")</f>
        <v>o</v>
      </c>
      <c r="H176" s="54" t="str">
        <f>if(iferror(match(A176,'March 23 - M3 1006'!L:L,0),FALSE),"o","")</f>
        <v/>
      </c>
      <c r="I176" s="55" t="str">
        <f>if(iferror(match(A176,'March 29 - M3 1006'!B:B,0),FALSE),"o","")</f>
        <v/>
      </c>
      <c r="J176" s="54" t="str">
        <f>if(iferror(match(A176,'March 29 - M3 1006'!G:G,0),FALSE),"o","")</f>
        <v/>
      </c>
      <c r="K176" s="54" t="str">
        <f>if(iferror(match(A176,'March 29 - M3 1006'!L:L,0),FALSE),"o","")</f>
        <v/>
      </c>
      <c r="L176" s="55" t="str">
        <f>if(iferror(match(A176,'March 30 - M3 1006'!B:B,0),FALSE),"o","")</f>
        <v/>
      </c>
      <c r="M176" s="54" t="str">
        <f>if(iferror(match(A176,'March 30 - M3 1006'!G:G,0),FALSE),"o","")</f>
        <v/>
      </c>
      <c r="N176" s="54" t="str">
        <f>if(iferror(match(A176,'March 30 - M3 1006'!L:L,0),FALSE),"o","")</f>
        <v/>
      </c>
    </row>
    <row r="177" ht="22.5" customHeight="1">
      <c r="A177" s="50" t="s">
        <v>79</v>
      </c>
      <c r="B177" s="56">
        <f t="shared" si="1"/>
        <v>3</v>
      </c>
      <c r="C177" s="52" t="str">
        <f>if(iferror(match(A177,'March 22 - RCH 301'!B:B,0),FALSE),"o","")</f>
        <v>o</v>
      </c>
      <c r="D177" s="53" t="str">
        <f>if(iferror(match(A177,'March 22 - RCH 301'!G:G,0),FALSE),"o","")</f>
        <v>o</v>
      </c>
      <c r="E177" s="54" t="str">
        <f>if(iferror(match(A177,'March 22 - RCH 301'!L:L,0),FALSE),"o","")</f>
        <v>o</v>
      </c>
      <c r="F177" s="55" t="str">
        <f>if(iferror(match(A177,'March 23 - M3 1006'!B:B,0),FALSE),"o","")</f>
        <v/>
      </c>
      <c r="G177" s="54" t="str">
        <f>if(iferror(match(A177,'March 23 - M3 1006'!G:G,0),FALSE),"o","")</f>
        <v/>
      </c>
      <c r="H177" s="54" t="str">
        <f>if(iferror(match(A177,'March 23 - M3 1006'!L:L,0),FALSE),"o","")</f>
        <v/>
      </c>
      <c r="I177" s="55" t="str">
        <f>if(iferror(match(A177,'March 29 - M3 1006'!B:B,0),FALSE),"o","")</f>
        <v/>
      </c>
      <c r="J177" s="54" t="str">
        <f>if(iferror(match(A177,'March 29 - M3 1006'!G:G,0),FALSE),"o","")</f>
        <v/>
      </c>
      <c r="K177" s="54" t="str">
        <f>if(iferror(match(A177,'March 29 - M3 1006'!L:L,0),FALSE),"o","")</f>
        <v/>
      </c>
      <c r="L177" s="55" t="str">
        <f>if(iferror(match(A177,'March 30 - M3 1006'!B:B,0),FALSE),"o","")</f>
        <v/>
      </c>
      <c r="M177" s="54" t="str">
        <f>if(iferror(match(A177,'March 30 - M3 1006'!G:G,0),FALSE),"o","")</f>
        <v/>
      </c>
      <c r="N177" s="54" t="str">
        <f>if(iferror(match(A177,'March 30 - M3 1006'!L:L,0),FALSE),"o","")</f>
        <v/>
      </c>
    </row>
    <row r="178" ht="22.5" customHeight="1">
      <c r="A178" s="50" t="s">
        <v>100</v>
      </c>
      <c r="B178" s="56">
        <f t="shared" si="1"/>
        <v>3</v>
      </c>
      <c r="C178" s="52" t="str">
        <f>if(iferror(match(A178,'March 22 - RCH 301'!B:B,0),FALSE),"o","")</f>
        <v>o</v>
      </c>
      <c r="D178" s="53" t="str">
        <f>if(iferror(match(A178,'March 22 - RCH 301'!G:G,0),FALSE),"o","")</f>
        <v>o</v>
      </c>
      <c r="E178" s="54" t="str">
        <f>if(iferror(match(A178,'March 22 - RCH 301'!L:L,0),FALSE),"o","")</f>
        <v>o</v>
      </c>
      <c r="F178" s="55" t="str">
        <f>if(iferror(match(A178,'March 23 - M3 1006'!B:B,0),FALSE),"o","")</f>
        <v/>
      </c>
      <c r="G178" s="54" t="str">
        <f>if(iferror(match(A178,'March 23 - M3 1006'!G:G,0),FALSE),"o","")</f>
        <v/>
      </c>
      <c r="H178" s="54" t="str">
        <f>if(iferror(match(A178,'March 23 - M3 1006'!L:L,0),FALSE),"o","")</f>
        <v/>
      </c>
      <c r="I178" s="55" t="str">
        <f>if(iferror(match(A178,'March 29 - M3 1006'!B:B,0),FALSE),"o","")</f>
        <v/>
      </c>
      <c r="J178" s="54" t="str">
        <f>if(iferror(match(A178,'March 29 - M3 1006'!G:G,0),FALSE),"o","")</f>
        <v/>
      </c>
      <c r="K178" s="54" t="str">
        <f>if(iferror(match(A178,'March 29 - M3 1006'!L:L,0),FALSE),"o","")</f>
        <v/>
      </c>
      <c r="L178" s="55" t="str">
        <f>if(iferror(match(A178,'March 30 - M3 1006'!B:B,0),FALSE),"o","")</f>
        <v/>
      </c>
      <c r="M178" s="54" t="str">
        <f>if(iferror(match(A178,'March 30 - M3 1006'!G:G,0),FALSE),"o","")</f>
        <v/>
      </c>
      <c r="N178" s="54" t="str">
        <f>if(iferror(match(A178,'March 30 - M3 1006'!L:L,0),FALSE),"o","")</f>
        <v/>
      </c>
    </row>
    <row r="179" ht="22.5" customHeight="1">
      <c r="A179" s="50" t="s">
        <v>211</v>
      </c>
      <c r="B179" s="56">
        <f t="shared" si="1"/>
        <v>5</v>
      </c>
      <c r="C179" s="52" t="str">
        <f>if(iferror(match(A179,'March 22 - RCH 301'!B:B,0),FALSE),"o","")</f>
        <v/>
      </c>
      <c r="D179" s="53" t="str">
        <f>if(iferror(match(A179,'March 22 - RCH 301'!G:G,0),FALSE),"o","")</f>
        <v/>
      </c>
      <c r="E179" s="54" t="str">
        <f>if(iferror(match(A179,'March 22 - RCH 301'!L:L,0),FALSE),"o","")</f>
        <v/>
      </c>
      <c r="F179" s="55" t="str">
        <f>if(iferror(match(A179,'March 23 - M3 1006'!B:B,0),FALSE),"o","")</f>
        <v/>
      </c>
      <c r="G179" s="54" t="str">
        <f>if(iferror(match(A179,'March 23 - M3 1006'!G:G,0),FALSE),"o","")</f>
        <v/>
      </c>
      <c r="H179" s="54" t="str">
        <f>if(iferror(match(A179,'March 23 - M3 1006'!L:L,0),FALSE),"o","")</f>
        <v/>
      </c>
      <c r="I179" s="55" t="str">
        <f>if(iferror(match(A179,'March 29 - M3 1006'!B:B,0),FALSE),"o","")</f>
        <v/>
      </c>
      <c r="J179" s="54" t="str">
        <f>if(iferror(match(A179,'March 29 - M3 1006'!G:G,0),FALSE),"o","")</f>
        <v>o</v>
      </c>
      <c r="K179" s="54" t="str">
        <f>if(iferror(match(A179,'March 29 - M3 1006'!L:L,0),FALSE),"o","")</f>
        <v>o</v>
      </c>
      <c r="L179" s="55" t="str">
        <f>if(iferror(match(A179,'March 30 - M3 1006'!B:B,0),FALSE),"o","")</f>
        <v>o</v>
      </c>
      <c r="M179" s="54" t="str">
        <f>if(iferror(match(A179,'March 30 - M3 1006'!G:G,0),FALSE),"o","")</f>
        <v>o</v>
      </c>
      <c r="N179" s="54" t="str">
        <f>if(iferror(match(A179,'March 30 - M3 1006'!L:L,0),FALSE),"o","")</f>
        <v>o</v>
      </c>
    </row>
    <row r="180" ht="22.5" customHeight="1">
      <c r="A180" s="50" t="s">
        <v>112</v>
      </c>
      <c r="B180" s="56">
        <f t="shared" si="1"/>
        <v>3</v>
      </c>
      <c r="C180" s="52" t="str">
        <f>if(iferror(match(A180,'March 22 - RCH 301'!B:B,0),FALSE),"o","")</f>
        <v>o</v>
      </c>
      <c r="D180" s="53" t="str">
        <f>if(iferror(match(A180,'March 22 - RCH 301'!G:G,0),FALSE),"o","")</f>
        <v/>
      </c>
      <c r="E180" s="54" t="str">
        <f>if(iferror(match(A180,'March 22 - RCH 301'!L:L,0),FALSE),"o","")</f>
        <v/>
      </c>
      <c r="F180" s="55" t="str">
        <f>if(iferror(match(A180,'March 23 - M3 1006'!B:B,0),FALSE),"o","")</f>
        <v>o</v>
      </c>
      <c r="G180" s="54" t="str">
        <f>if(iferror(match(A180,'March 23 - M3 1006'!G:G,0),FALSE),"o","")</f>
        <v/>
      </c>
      <c r="H180" s="54" t="str">
        <f>if(iferror(match(A180,'March 23 - M3 1006'!L:L,0),FALSE),"o","")</f>
        <v/>
      </c>
      <c r="I180" s="55" t="str">
        <f>if(iferror(match(A180,'March 29 - M3 1006'!B:B,0),FALSE),"o","")</f>
        <v/>
      </c>
      <c r="J180" s="54" t="str">
        <f>if(iferror(match(A180,'March 29 - M3 1006'!G:G,0),FALSE),"o","")</f>
        <v/>
      </c>
      <c r="K180" s="54" t="str">
        <f>if(iferror(match(A180,'March 29 - M3 1006'!L:L,0),FALSE),"o","")</f>
        <v/>
      </c>
      <c r="L180" s="55" t="str">
        <f>if(iferror(match(A180,'March 30 - M3 1006'!B:B,0),FALSE),"o","")</f>
        <v/>
      </c>
      <c r="M180" s="54" t="str">
        <f>if(iferror(match(A180,'March 30 - M3 1006'!G:G,0),FALSE),"o","")</f>
        <v>o</v>
      </c>
      <c r="N180" s="54" t="str">
        <f>if(iferror(match(A180,'March 30 - M3 1006'!L:L,0),FALSE),"o","")</f>
        <v/>
      </c>
    </row>
    <row r="181" ht="22.5" customHeight="1">
      <c r="A181" s="50" t="s">
        <v>86</v>
      </c>
      <c r="B181" s="56">
        <f t="shared" si="1"/>
        <v>3</v>
      </c>
      <c r="C181" s="52" t="str">
        <f>if(iferror(match(A181,'March 22 - RCH 301'!B:B,0),FALSE),"o","")</f>
        <v>o</v>
      </c>
      <c r="D181" s="53" t="str">
        <f>if(iferror(match(A181,'March 22 - RCH 301'!G:G,0),FALSE),"o","")</f>
        <v>o</v>
      </c>
      <c r="E181" s="54" t="str">
        <f>if(iferror(match(A181,'March 22 - RCH 301'!L:L,0),FALSE),"o","")</f>
        <v/>
      </c>
      <c r="F181" s="55" t="str">
        <f>if(iferror(match(A181,'March 23 - M3 1006'!B:B,0),FALSE),"o","")</f>
        <v>o</v>
      </c>
      <c r="G181" s="54" t="str">
        <f>if(iferror(match(A181,'March 23 - M3 1006'!G:G,0),FALSE),"o","")</f>
        <v/>
      </c>
      <c r="H181" s="54" t="str">
        <f>if(iferror(match(A181,'March 23 - M3 1006'!L:L,0),FALSE),"o","")</f>
        <v/>
      </c>
      <c r="I181" s="55" t="str">
        <f>if(iferror(match(A181,'March 29 - M3 1006'!B:B,0),FALSE),"o","")</f>
        <v/>
      </c>
      <c r="J181" s="54" t="str">
        <f>if(iferror(match(A181,'March 29 - M3 1006'!G:G,0),FALSE),"o","")</f>
        <v/>
      </c>
      <c r="K181" s="54" t="str">
        <f>if(iferror(match(A181,'March 29 - M3 1006'!L:L,0),FALSE),"o","")</f>
        <v/>
      </c>
      <c r="L181" s="55" t="str">
        <f>if(iferror(match(A181,'March 30 - M3 1006'!B:B,0),FALSE),"o","")</f>
        <v/>
      </c>
      <c r="M181" s="54" t="str">
        <f>if(iferror(match(A181,'March 30 - M3 1006'!G:G,0),FALSE),"o","")</f>
        <v/>
      </c>
      <c r="N181" s="54" t="str">
        <f>if(iferror(match(A181,'March 30 - M3 1006'!L:L,0),FALSE),"o","")</f>
        <v/>
      </c>
    </row>
    <row r="182" ht="22.5" customHeight="1">
      <c r="A182" s="50" t="s">
        <v>170</v>
      </c>
      <c r="B182" s="56">
        <f t="shared" si="1"/>
        <v>3</v>
      </c>
      <c r="C182" s="52" t="str">
        <f>if(iferror(match(A182,'March 22 - RCH 301'!B:B,0),FALSE),"o","")</f>
        <v/>
      </c>
      <c r="D182" s="53" t="str">
        <f>if(iferror(match(A182,'March 22 - RCH 301'!G:G,0),FALSE),"o","")</f>
        <v/>
      </c>
      <c r="E182" s="54" t="str">
        <f>if(iferror(match(A182,'March 22 - RCH 301'!L:L,0),FALSE),"o","")</f>
        <v/>
      </c>
      <c r="F182" s="55" t="str">
        <f>if(iferror(match(A182,'March 23 - M3 1006'!B:B,0),FALSE),"o","")</f>
        <v>o</v>
      </c>
      <c r="G182" s="54" t="str">
        <f>if(iferror(match(A182,'March 23 - M3 1006'!G:G,0),FALSE),"o","")</f>
        <v>o</v>
      </c>
      <c r="H182" s="54" t="str">
        <f>if(iferror(match(A182,'March 23 - M3 1006'!L:L,0),FALSE),"o","")</f>
        <v/>
      </c>
      <c r="I182" s="55" t="str">
        <f>if(iferror(match(A182,'March 29 - M3 1006'!B:B,0),FALSE),"o","")</f>
        <v/>
      </c>
      <c r="J182" s="54" t="str">
        <f>if(iferror(match(A182,'March 29 - M3 1006'!G:G,0),FALSE),"o","")</f>
        <v>o</v>
      </c>
      <c r="K182" s="54" t="str">
        <f>if(iferror(match(A182,'March 29 - M3 1006'!L:L,0),FALSE),"o","")</f>
        <v/>
      </c>
      <c r="L182" s="55" t="str">
        <f>if(iferror(match(A182,'March 30 - M3 1006'!B:B,0),FALSE),"o","")</f>
        <v/>
      </c>
      <c r="M182" s="54" t="str">
        <f>if(iferror(match(A182,'March 30 - M3 1006'!G:G,0),FALSE),"o","")</f>
        <v/>
      </c>
      <c r="N182" s="54" t="str">
        <f>if(iferror(match(A182,'March 30 - M3 1006'!L:L,0),FALSE),"o","")</f>
        <v/>
      </c>
    </row>
    <row r="183" ht="22.5" customHeight="1">
      <c r="A183" s="50" t="s">
        <v>66</v>
      </c>
      <c r="B183" s="56">
        <f t="shared" si="1"/>
        <v>3</v>
      </c>
      <c r="C183" s="52" t="str">
        <f>if(iferror(match(A183,'March 22 - RCH 301'!B:B,0),FALSE),"o","")</f>
        <v>o</v>
      </c>
      <c r="D183" s="53" t="str">
        <f>if(iferror(match(A183,'March 22 - RCH 301'!G:G,0),FALSE),"o","")</f>
        <v>o</v>
      </c>
      <c r="E183" s="54" t="str">
        <f>if(iferror(match(A183,'March 22 - RCH 301'!L:L,0),FALSE),"o","")</f>
        <v>o</v>
      </c>
      <c r="F183" s="55" t="str">
        <f>if(iferror(match(A183,'March 23 - M3 1006'!B:B,0),FALSE),"o","")</f>
        <v/>
      </c>
      <c r="G183" s="54" t="str">
        <f>if(iferror(match(A183,'March 23 - M3 1006'!G:G,0),FALSE),"o","")</f>
        <v/>
      </c>
      <c r="H183" s="54" t="str">
        <f>if(iferror(match(A183,'March 23 - M3 1006'!L:L,0),FALSE),"o","")</f>
        <v/>
      </c>
      <c r="I183" s="55" t="str">
        <f>if(iferror(match(A183,'March 29 - M3 1006'!B:B,0),FALSE),"o","")</f>
        <v/>
      </c>
      <c r="J183" s="54" t="str">
        <f>if(iferror(match(A183,'March 29 - M3 1006'!G:G,0),FALSE),"o","")</f>
        <v/>
      </c>
      <c r="K183" s="54" t="str">
        <f>if(iferror(match(A183,'March 29 - M3 1006'!L:L,0),FALSE),"o","")</f>
        <v/>
      </c>
      <c r="L183" s="55" t="str">
        <f>if(iferror(match(A183,'March 30 - M3 1006'!B:B,0),FALSE),"o","")</f>
        <v/>
      </c>
      <c r="M183" s="54" t="str">
        <f>if(iferror(match(A183,'March 30 - M3 1006'!G:G,0),FALSE),"o","")</f>
        <v/>
      </c>
      <c r="N183" s="54" t="str">
        <f>if(iferror(match(A183,'March 30 - M3 1006'!L:L,0),FALSE),"o","")</f>
        <v/>
      </c>
    </row>
    <row r="184" ht="22.5" customHeight="1">
      <c r="A184" s="50" t="s">
        <v>95</v>
      </c>
      <c r="B184" s="56">
        <f t="shared" si="1"/>
        <v>3</v>
      </c>
      <c r="C184" s="52" t="str">
        <f>if(iferror(match(A184,'March 22 - RCH 301'!B:B,0),FALSE),"o","")</f>
        <v>o</v>
      </c>
      <c r="D184" s="53" t="str">
        <f>if(iferror(match(A184,'March 22 - RCH 301'!G:G,0),FALSE),"o","")</f>
        <v>o</v>
      </c>
      <c r="E184" s="54" t="str">
        <f>if(iferror(match(A184,'March 22 - RCH 301'!L:L,0),FALSE),"o","")</f>
        <v/>
      </c>
      <c r="F184" s="55" t="str">
        <f>if(iferror(match(A184,'March 23 - M3 1006'!B:B,0),FALSE),"o","")</f>
        <v/>
      </c>
      <c r="G184" s="54" t="str">
        <f>if(iferror(match(A184,'March 23 - M3 1006'!G:G,0),FALSE),"o","")</f>
        <v/>
      </c>
      <c r="H184" s="54" t="str">
        <f>if(iferror(match(A184,'March 23 - M3 1006'!L:L,0),FALSE),"o","")</f>
        <v/>
      </c>
      <c r="I184" s="55" t="str">
        <f>if(iferror(match(A184,'March 29 - M3 1006'!B:B,0),FALSE),"o","")</f>
        <v>o</v>
      </c>
      <c r="J184" s="54" t="str">
        <f>if(iferror(match(A184,'March 29 - M3 1006'!G:G,0),FALSE),"o","")</f>
        <v/>
      </c>
      <c r="K184" s="54" t="str">
        <f>if(iferror(match(A184,'March 29 - M3 1006'!L:L,0),FALSE),"o","")</f>
        <v/>
      </c>
      <c r="L184" s="55" t="str">
        <f>if(iferror(match(A184,'March 30 - M3 1006'!B:B,0),FALSE),"o","")</f>
        <v/>
      </c>
      <c r="M184" s="54" t="str">
        <f>if(iferror(match(A184,'March 30 - M3 1006'!G:G,0),FALSE),"o","")</f>
        <v/>
      </c>
      <c r="N184" s="54" t="str">
        <f>if(iferror(match(A184,'March 30 - M3 1006'!L:L,0),FALSE),"o","")</f>
        <v/>
      </c>
    </row>
    <row r="185" ht="22.5" customHeight="1">
      <c r="A185" s="50" t="s">
        <v>159</v>
      </c>
      <c r="B185" s="56">
        <f t="shared" si="1"/>
        <v>3</v>
      </c>
      <c r="C185" s="52" t="str">
        <f>if(iferror(match(A185,'March 22 - RCH 301'!B:B,0),FALSE),"o","")</f>
        <v/>
      </c>
      <c r="D185" s="53" t="str">
        <f>if(iferror(match(A185,'March 22 - RCH 301'!G:G,0),FALSE),"o","")</f>
        <v/>
      </c>
      <c r="E185" s="54" t="str">
        <f>if(iferror(match(A185,'March 22 - RCH 301'!L:L,0),FALSE),"o","")</f>
        <v/>
      </c>
      <c r="F185" s="55" t="str">
        <f>if(iferror(match(A185,'March 23 - M3 1006'!B:B,0),FALSE),"o","")</f>
        <v>o</v>
      </c>
      <c r="G185" s="54" t="str">
        <f>if(iferror(match(A185,'March 23 - M3 1006'!G:G,0),FALSE),"o","")</f>
        <v>o</v>
      </c>
      <c r="H185" s="54" t="str">
        <f>if(iferror(match(A185,'March 23 - M3 1006'!L:L,0),FALSE),"o","")</f>
        <v>o</v>
      </c>
      <c r="I185" s="55" t="str">
        <f>if(iferror(match(A185,'March 29 - M3 1006'!B:B,0),FALSE),"o","")</f>
        <v/>
      </c>
      <c r="J185" s="54" t="str">
        <f>if(iferror(match(A185,'March 29 - M3 1006'!G:G,0),FALSE),"o","")</f>
        <v/>
      </c>
      <c r="K185" s="54" t="str">
        <f>if(iferror(match(A185,'March 29 - M3 1006'!L:L,0),FALSE),"o","")</f>
        <v/>
      </c>
      <c r="L185" s="55" t="str">
        <f>if(iferror(match(A185,'March 30 - M3 1006'!B:B,0),FALSE),"o","")</f>
        <v/>
      </c>
      <c r="M185" s="54" t="str">
        <f>if(iferror(match(A185,'March 30 - M3 1006'!G:G,0),FALSE),"o","")</f>
        <v/>
      </c>
      <c r="N185" s="54" t="str">
        <f>if(iferror(match(A185,'March 30 - M3 1006'!L:L,0),FALSE),"o","")</f>
        <v/>
      </c>
    </row>
    <row r="186" ht="22.5" customHeight="1">
      <c r="A186" s="50" t="s">
        <v>163</v>
      </c>
      <c r="B186" s="56">
        <f t="shared" si="1"/>
        <v>3</v>
      </c>
      <c r="C186" s="52" t="str">
        <f>if(iferror(match(A186,'March 22 - RCH 301'!B:B,0),FALSE),"o","")</f>
        <v/>
      </c>
      <c r="D186" s="53" t="str">
        <f>if(iferror(match(A186,'March 22 - RCH 301'!G:G,0),FALSE),"o","")</f>
        <v/>
      </c>
      <c r="E186" s="54" t="str">
        <f>if(iferror(match(A186,'March 22 - RCH 301'!L:L,0),FALSE),"o","")</f>
        <v/>
      </c>
      <c r="F186" s="55" t="str">
        <f>if(iferror(match(A186,'March 23 - M3 1006'!B:B,0),FALSE),"o","")</f>
        <v>o</v>
      </c>
      <c r="G186" s="54" t="str">
        <f>if(iferror(match(A186,'March 23 - M3 1006'!G:G,0),FALSE),"o","")</f>
        <v>o</v>
      </c>
      <c r="H186" s="54" t="str">
        <f>if(iferror(match(A186,'March 23 - M3 1006'!L:L,0),FALSE),"o","")</f>
        <v>o</v>
      </c>
      <c r="I186" s="55" t="str">
        <f>if(iferror(match(A186,'March 29 - M3 1006'!B:B,0),FALSE),"o","")</f>
        <v/>
      </c>
      <c r="J186" s="54" t="str">
        <f>if(iferror(match(A186,'March 29 - M3 1006'!G:G,0),FALSE),"o","")</f>
        <v/>
      </c>
      <c r="K186" s="54" t="str">
        <f>if(iferror(match(A186,'March 29 - M3 1006'!L:L,0),FALSE),"o","")</f>
        <v/>
      </c>
      <c r="L186" s="55" t="str">
        <f>if(iferror(match(A186,'March 30 - M3 1006'!B:B,0),FALSE),"o","")</f>
        <v/>
      </c>
      <c r="M186" s="54" t="str">
        <f>if(iferror(match(A186,'March 30 - M3 1006'!G:G,0),FALSE),"o","")</f>
        <v/>
      </c>
      <c r="N186" s="54" t="str">
        <f>if(iferror(match(A186,'March 30 - M3 1006'!L:L,0),FALSE),"o","")</f>
        <v/>
      </c>
    </row>
    <row r="187" ht="22.5" customHeight="1">
      <c r="A187" s="50" t="s">
        <v>102</v>
      </c>
      <c r="B187" s="56">
        <f t="shared" si="1"/>
        <v>3</v>
      </c>
      <c r="C187" s="52" t="str">
        <f>if(iferror(match(A187,'March 22 - RCH 301'!B:B,0),FALSE),"o","")</f>
        <v/>
      </c>
      <c r="D187" s="53" t="str">
        <f>if(iferror(match(A187,'March 22 - RCH 301'!G:G,0),FALSE),"o","")</f>
        <v/>
      </c>
      <c r="E187" s="54" t="str">
        <f>if(iferror(match(A187,'March 22 - RCH 301'!L:L,0),FALSE),"o","")</f>
        <v>o</v>
      </c>
      <c r="F187" s="55" t="str">
        <f>if(iferror(match(A187,'March 23 - M3 1006'!B:B,0),FALSE),"o","")</f>
        <v/>
      </c>
      <c r="G187" s="54" t="str">
        <f>if(iferror(match(A187,'March 23 - M3 1006'!G:G,0),FALSE),"o","")</f>
        <v/>
      </c>
      <c r="H187" s="54" t="str">
        <f>if(iferror(match(A187,'March 23 - M3 1006'!L:L,0),FALSE),"o","")</f>
        <v/>
      </c>
      <c r="I187" s="55" t="str">
        <f>if(iferror(match(A187,'March 29 - M3 1006'!B:B,0),FALSE),"o","")</f>
        <v/>
      </c>
      <c r="J187" s="54" t="str">
        <f>if(iferror(match(A187,'March 29 - M3 1006'!G:G,0),FALSE),"o","")</f>
        <v>o</v>
      </c>
      <c r="K187" s="54" t="str">
        <f>if(iferror(match(A187,'March 29 - M3 1006'!L:L,0),FALSE),"o","")</f>
        <v>o</v>
      </c>
      <c r="L187" s="55" t="str">
        <f>if(iferror(match(A187,'March 30 - M3 1006'!B:B,0),FALSE),"o","")</f>
        <v/>
      </c>
      <c r="M187" s="54" t="str">
        <f>if(iferror(match(A187,'March 30 - M3 1006'!G:G,0),FALSE),"o","")</f>
        <v/>
      </c>
      <c r="N187" s="54" t="str">
        <f>if(iferror(match(A187,'March 30 - M3 1006'!L:L,0),FALSE),"o","")</f>
        <v/>
      </c>
    </row>
    <row r="188" ht="22.5" customHeight="1">
      <c r="A188" s="50" t="s">
        <v>89</v>
      </c>
      <c r="B188" s="56">
        <f t="shared" si="1"/>
        <v>3</v>
      </c>
      <c r="C188" s="52" t="str">
        <f>if(iferror(match(A188,'March 22 - RCH 301'!B:B,0),FALSE),"o","")</f>
        <v>o</v>
      </c>
      <c r="D188" s="53" t="str">
        <f>if(iferror(match(A188,'March 22 - RCH 301'!G:G,0),FALSE),"o","")</f>
        <v/>
      </c>
      <c r="E188" s="54" t="str">
        <f>if(iferror(match(A188,'March 22 - RCH 301'!L:L,0),FALSE),"o","")</f>
        <v/>
      </c>
      <c r="F188" s="55" t="str">
        <f>if(iferror(match(A188,'March 23 - M3 1006'!B:B,0),FALSE),"o","")</f>
        <v/>
      </c>
      <c r="G188" s="54" t="str">
        <f>if(iferror(match(A188,'March 23 - M3 1006'!G:G,0),FALSE),"o","")</f>
        <v>o</v>
      </c>
      <c r="H188" s="54" t="str">
        <f>if(iferror(match(A188,'March 23 - M3 1006'!L:L,0),FALSE),"o","")</f>
        <v>o</v>
      </c>
      <c r="I188" s="55" t="str">
        <f>if(iferror(match(A188,'March 29 - M3 1006'!B:B,0),FALSE),"o","")</f>
        <v/>
      </c>
      <c r="J188" s="54" t="str">
        <f>if(iferror(match(A188,'March 29 - M3 1006'!G:G,0),FALSE),"o","")</f>
        <v/>
      </c>
      <c r="K188" s="54" t="str">
        <f>if(iferror(match(A188,'March 29 - M3 1006'!L:L,0),FALSE),"o","")</f>
        <v/>
      </c>
      <c r="L188" s="55" t="str">
        <f>if(iferror(match(A188,'March 30 - M3 1006'!B:B,0),FALSE),"o","")</f>
        <v/>
      </c>
      <c r="M188" s="54" t="str">
        <f>if(iferror(match(A188,'March 30 - M3 1006'!G:G,0),FALSE),"o","")</f>
        <v/>
      </c>
      <c r="N188" s="54" t="str">
        <f>if(iferror(match(A188,'March 30 - M3 1006'!L:L,0),FALSE),"o","")</f>
        <v/>
      </c>
    </row>
    <row r="189" ht="22.5" customHeight="1">
      <c r="A189" s="50" t="s">
        <v>115</v>
      </c>
      <c r="B189" s="56">
        <f t="shared" si="1"/>
        <v>4</v>
      </c>
      <c r="C189" s="52" t="str">
        <f>if(iferror(match(A189,'March 22 - RCH 301'!B:B,0),FALSE),"o","")</f>
        <v/>
      </c>
      <c r="D189" s="53" t="str">
        <f>if(iferror(match(A189,'March 22 - RCH 301'!G:G,0),FALSE),"o","")</f>
        <v>o</v>
      </c>
      <c r="E189" s="54" t="str">
        <f>if(iferror(match(A189,'March 22 - RCH 301'!L:L,0),FALSE),"o","")</f>
        <v/>
      </c>
      <c r="F189" s="55" t="str">
        <f>if(iferror(match(A189,'March 23 - M3 1006'!B:B,0),FALSE),"o","")</f>
        <v/>
      </c>
      <c r="G189" s="54" t="str">
        <f>if(iferror(match(A189,'March 23 - M3 1006'!G:G,0),FALSE),"o","")</f>
        <v>o</v>
      </c>
      <c r="H189" s="54" t="str">
        <f>if(iferror(match(A189,'March 23 - M3 1006'!L:L,0),FALSE),"o","")</f>
        <v/>
      </c>
      <c r="I189" s="55" t="str">
        <f>if(iferror(match(A189,'March 29 - M3 1006'!B:B,0),FALSE),"o","")</f>
        <v/>
      </c>
      <c r="J189" s="54" t="str">
        <f>if(iferror(match(A189,'March 29 - M3 1006'!G:G,0),FALSE),"o","")</f>
        <v>o</v>
      </c>
      <c r="K189" s="54" t="str">
        <f>if(iferror(match(A189,'March 29 - M3 1006'!L:L,0),FALSE),"o","")</f>
        <v/>
      </c>
      <c r="L189" s="55" t="str">
        <f>if(iferror(match(A189,'March 30 - M3 1006'!B:B,0),FALSE),"o","")</f>
        <v/>
      </c>
      <c r="M189" s="54" t="str">
        <f>if(iferror(match(A189,'March 30 - M3 1006'!G:G,0),FALSE),"o","")</f>
        <v>o</v>
      </c>
      <c r="N189" s="54" t="str">
        <f>if(iferror(match(A189,'March 30 - M3 1006'!L:L,0),FALSE),"o","")</f>
        <v/>
      </c>
    </row>
    <row r="190" ht="22.5" customHeight="1">
      <c r="A190" s="50" t="s">
        <v>166</v>
      </c>
      <c r="B190" s="56">
        <f t="shared" si="1"/>
        <v>3</v>
      </c>
      <c r="C190" s="52" t="str">
        <f>if(iferror(match(A190,'March 22 - RCH 301'!B:B,0),FALSE),"o","")</f>
        <v/>
      </c>
      <c r="D190" s="53" t="str">
        <f>if(iferror(match(A190,'March 22 - RCH 301'!G:G,0),FALSE),"o","")</f>
        <v/>
      </c>
      <c r="E190" s="54" t="str">
        <f>if(iferror(match(A190,'March 22 - RCH 301'!L:L,0),FALSE),"o","")</f>
        <v/>
      </c>
      <c r="F190" s="55" t="str">
        <f>if(iferror(match(A190,'March 23 - M3 1006'!B:B,0),FALSE),"o","")</f>
        <v>o</v>
      </c>
      <c r="G190" s="54" t="str">
        <f>if(iferror(match(A190,'March 23 - M3 1006'!G:G,0),FALSE),"o","")</f>
        <v>o</v>
      </c>
      <c r="H190" s="54" t="str">
        <f>if(iferror(match(A190,'March 23 - M3 1006'!L:L,0),FALSE),"o","")</f>
        <v>o</v>
      </c>
      <c r="I190" s="55" t="str">
        <f>if(iferror(match(A190,'March 29 - M3 1006'!B:B,0),FALSE),"o","")</f>
        <v/>
      </c>
      <c r="J190" s="54" t="str">
        <f>if(iferror(match(A190,'March 29 - M3 1006'!G:G,0),FALSE),"o","")</f>
        <v/>
      </c>
      <c r="K190" s="54" t="str">
        <f>if(iferror(match(A190,'March 29 - M3 1006'!L:L,0),FALSE),"o","")</f>
        <v/>
      </c>
      <c r="L190" s="55" t="str">
        <f>if(iferror(match(A190,'March 30 - M3 1006'!B:B,0),FALSE),"o","")</f>
        <v/>
      </c>
      <c r="M190" s="54" t="str">
        <f>if(iferror(match(A190,'March 30 - M3 1006'!G:G,0),FALSE),"o","")</f>
        <v/>
      </c>
      <c r="N190" s="54" t="str">
        <f>if(iferror(match(A190,'March 30 - M3 1006'!L:L,0),FALSE),"o","")</f>
        <v/>
      </c>
    </row>
    <row r="191" ht="22.5" customHeight="1">
      <c r="A191" s="50" t="s">
        <v>162</v>
      </c>
      <c r="B191" s="56">
        <f t="shared" si="1"/>
        <v>3</v>
      </c>
      <c r="C191" s="52" t="str">
        <f>if(iferror(match(A191,'March 22 - RCH 301'!B:B,0),FALSE),"o","")</f>
        <v/>
      </c>
      <c r="D191" s="53" t="str">
        <f>if(iferror(match(A191,'March 22 - RCH 301'!G:G,0),FALSE),"o","")</f>
        <v/>
      </c>
      <c r="E191" s="54" t="str">
        <f>if(iferror(match(A191,'March 22 - RCH 301'!L:L,0),FALSE),"o","")</f>
        <v/>
      </c>
      <c r="F191" s="55" t="str">
        <f>if(iferror(match(A191,'March 23 - M3 1006'!B:B,0),FALSE),"o","")</f>
        <v>o</v>
      </c>
      <c r="G191" s="54" t="str">
        <f>if(iferror(match(A191,'March 23 - M3 1006'!G:G,0),FALSE),"o","")</f>
        <v>o</v>
      </c>
      <c r="H191" s="54" t="str">
        <f>if(iferror(match(A191,'March 23 - M3 1006'!L:L,0),FALSE),"o","")</f>
        <v>o</v>
      </c>
      <c r="I191" s="55" t="str">
        <f>if(iferror(match(A191,'March 29 - M3 1006'!B:B,0),FALSE),"o","")</f>
        <v/>
      </c>
      <c r="J191" s="54" t="str">
        <f>if(iferror(match(A191,'March 29 - M3 1006'!G:G,0),FALSE),"o","")</f>
        <v/>
      </c>
      <c r="K191" s="54" t="str">
        <f>if(iferror(match(A191,'March 29 - M3 1006'!L:L,0),FALSE),"o","")</f>
        <v/>
      </c>
      <c r="L191" s="55" t="str">
        <f>if(iferror(match(A191,'March 30 - M3 1006'!B:B,0),FALSE),"o","")</f>
        <v/>
      </c>
      <c r="M191" s="54" t="str">
        <f>if(iferror(match(A191,'March 30 - M3 1006'!G:G,0),FALSE),"o","")</f>
        <v/>
      </c>
      <c r="N191" s="54" t="str">
        <f>if(iferror(match(A191,'March 30 - M3 1006'!L:L,0),FALSE),"o","")</f>
        <v/>
      </c>
    </row>
    <row r="192" ht="22.5" customHeight="1">
      <c r="A192" s="50" t="s">
        <v>69</v>
      </c>
      <c r="B192" s="56">
        <f t="shared" si="1"/>
        <v>3</v>
      </c>
      <c r="C192" s="52" t="str">
        <f>if(iferror(match(A192,'March 22 - RCH 301'!B:B,0),FALSE),"o","")</f>
        <v>o</v>
      </c>
      <c r="D192" s="53" t="str">
        <f>if(iferror(match(A192,'March 22 - RCH 301'!G:G,0),FALSE),"o","")</f>
        <v>o</v>
      </c>
      <c r="E192" s="54" t="str">
        <f>if(iferror(match(A192,'March 22 - RCH 301'!L:L,0),FALSE),"o","")</f>
        <v/>
      </c>
      <c r="F192" s="55" t="str">
        <f>if(iferror(match(A192,'March 23 - M3 1006'!B:B,0),FALSE),"o","")</f>
        <v/>
      </c>
      <c r="G192" s="54" t="str">
        <f>if(iferror(match(A192,'March 23 - M3 1006'!G:G,0),FALSE),"o","")</f>
        <v/>
      </c>
      <c r="H192" s="54" t="str">
        <f>if(iferror(match(A192,'March 23 - M3 1006'!L:L,0),FALSE),"o","")</f>
        <v/>
      </c>
      <c r="I192" s="55" t="str">
        <f>if(iferror(match(A192,'March 29 - M3 1006'!B:B,0),FALSE),"o","")</f>
        <v/>
      </c>
      <c r="J192" s="54" t="str">
        <f>if(iferror(match(A192,'March 29 - M3 1006'!G:G,0),FALSE),"o","")</f>
        <v/>
      </c>
      <c r="K192" s="54" t="str">
        <f>if(iferror(match(A192,'March 29 - M3 1006'!L:L,0),FALSE),"o","")</f>
        <v/>
      </c>
      <c r="L192" s="55" t="str">
        <f>if(iferror(match(A192,'March 30 - M3 1006'!B:B,0),FALSE),"o","")</f>
        <v>o</v>
      </c>
      <c r="M192" s="54" t="str">
        <f>if(iferror(match(A192,'March 30 - M3 1006'!G:G,0),FALSE),"o","")</f>
        <v/>
      </c>
      <c r="N192" s="54" t="str">
        <f>if(iferror(match(A192,'March 30 - M3 1006'!L:L,0),FALSE),"o","")</f>
        <v/>
      </c>
    </row>
    <row r="193" ht="22.5" customHeight="1">
      <c r="A193" s="58" t="s">
        <v>164</v>
      </c>
      <c r="B193" s="56">
        <f t="shared" si="1"/>
        <v>5</v>
      </c>
      <c r="C193" s="52" t="str">
        <f>if(iferror(match(A193,'March 22 - RCH 301'!B:B,0),FALSE),"o","")</f>
        <v/>
      </c>
      <c r="D193" s="53" t="str">
        <f>if(iferror(match(A193,'March 22 - RCH 301'!G:G,0),FALSE),"o","")</f>
        <v/>
      </c>
      <c r="E193" s="54" t="str">
        <f>if(iferror(match(A193,'March 22 - RCH 301'!L:L,0),FALSE),"o","")</f>
        <v/>
      </c>
      <c r="F193" s="55" t="str">
        <f>if(iferror(match(A193,'March 23 - M3 1006'!B:B,0),FALSE),"o","")</f>
        <v/>
      </c>
      <c r="G193" s="54" t="str">
        <f>if(iferror(match(A193,'March 23 - M3 1006'!G:G,0),FALSE),"o","")</f>
        <v/>
      </c>
      <c r="H193" s="54" t="str">
        <f>if(iferror(match(A193,'March 23 - M3 1006'!L:L,0),FALSE),"o","")</f>
        <v>o</v>
      </c>
      <c r="I193" s="55" t="str">
        <f>if(iferror(match(A193,'March 29 - M3 1006'!B:B,0),FALSE),"o","")</f>
        <v>o</v>
      </c>
      <c r="J193" s="54" t="str">
        <f>if(iferror(match(A193,'March 29 - M3 1006'!G:G,0),FALSE),"o","")</f>
        <v>o</v>
      </c>
      <c r="K193" s="54" t="str">
        <f>if(iferror(match(A193,'March 29 - M3 1006'!L:L,0),FALSE),"o","")</f>
        <v/>
      </c>
      <c r="L193" s="55" t="str">
        <f>if(iferror(match(A193,'March 30 - M3 1006'!B:B,0),FALSE),"o","")</f>
        <v>o</v>
      </c>
      <c r="M193" s="54" t="str">
        <f>if(iferror(match(A193,'March 30 - M3 1006'!G:G,0),FALSE),"o","")</f>
        <v>o</v>
      </c>
      <c r="N193" s="54" t="str">
        <f>if(iferror(match(A193,'March 30 - M3 1006'!L:L,0),FALSE),"o","")</f>
        <v/>
      </c>
    </row>
    <row r="194" ht="22.5" customHeight="1">
      <c r="A194" s="58" t="s">
        <v>142</v>
      </c>
      <c r="B194" s="56">
        <f t="shared" si="1"/>
        <v>3</v>
      </c>
      <c r="C194" s="52" t="str">
        <f>if(iferror(match(A194,'March 22 - RCH 301'!B:B,0),FALSE),"o","")</f>
        <v/>
      </c>
      <c r="D194" s="53" t="str">
        <f>if(iferror(match(A194,'March 22 - RCH 301'!G:G,0),FALSE),"o","")</f>
        <v/>
      </c>
      <c r="E194" s="54" t="str">
        <f>if(iferror(match(A194,'March 22 - RCH 301'!L:L,0),FALSE),"o","")</f>
        <v/>
      </c>
      <c r="F194" s="55" t="str">
        <f>if(iferror(match(A194,'March 23 - M3 1006'!B:B,0),FALSE),"o","")</f>
        <v/>
      </c>
      <c r="G194" s="54" t="str">
        <f>if(iferror(match(A194,'March 23 - M3 1006'!G:G,0),FALSE),"o","")</f>
        <v/>
      </c>
      <c r="H194" s="54" t="str">
        <f>if(iferror(match(A194,'March 23 - M3 1006'!L:L,0),FALSE),"o","")</f>
        <v>o</v>
      </c>
      <c r="I194" s="55" t="str">
        <f>if(iferror(match(A194,'March 29 - M3 1006'!B:B,0),FALSE),"o","")</f>
        <v/>
      </c>
      <c r="J194" s="54" t="str">
        <f>if(iferror(match(A194,'March 29 - M3 1006'!G:G,0),FALSE),"o","")</f>
        <v>o</v>
      </c>
      <c r="K194" s="54" t="str">
        <f>if(iferror(match(A194,'March 29 - M3 1006'!L:L,0),FALSE),"o","")</f>
        <v/>
      </c>
      <c r="L194" s="55" t="str">
        <f>if(iferror(match(A194,'March 30 - M3 1006'!B:B,0),FALSE),"o","")</f>
        <v/>
      </c>
      <c r="M194" s="54" t="str">
        <f>if(iferror(match(A194,'March 30 - M3 1006'!G:G,0),FALSE),"o","")</f>
        <v>o</v>
      </c>
      <c r="N194" s="54" t="str">
        <f>if(iferror(match(A194,'March 30 - M3 1006'!L:L,0),FALSE),"o","")</f>
        <v/>
      </c>
    </row>
    <row r="195" ht="22.5" customHeight="1">
      <c r="A195" s="58" t="s">
        <v>88</v>
      </c>
      <c r="B195" s="56">
        <f t="shared" si="1"/>
        <v>3</v>
      </c>
      <c r="C195" s="52" t="str">
        <f>if(iferror(match(A195,'March 22 - RCH 301'!B:B,0),FALSE),"o","")</f>
        <v>o</v>
      </c>
      <c r="D195" s="53" t="str">
        <f>if(iferror(match(A195,'March 22 - RCH 301'!G:G,0),FALSE),"o","")</f>
        <v/>
      </c>
      <c r="E195" s="54" t="str">
        <f>if(iferror(match(A195,'March 22 - RCH 301'!L:L,0),FALSE),"o","")</f>
        <v>o</v>
      </c>
      <c r="F195" s="55" t="str">
        <f>if(iferror(match(A195,'March 23 - M3 1006'!B:B,0),FALSE),"o","")</f>
        <v>o</v>
      </c>
      <c r="G195" s="54" t="str">
        <f>if(iferror(match(A195,'March 23 - M3 1006'!G:G,0),FALSE),"o","")</f>
        <v/>
      </c>
      <c r="H195" s="54" t="str">
        <f>if(iferror(match(A195,'March 23 - M3 1006'!L:L,0),FALSE),"o","")</f>
        <v/>
      </c>
      <c r="I195" s="55" t="str">
        <f>if(iferror(match(A195,'March 29 - M3 1006'!B:B,0),FALSE),"o","")</f>
        <v/>
      </c>
      <c r="J195" s="54" t="str">
        <f>if(iferror(match(A195,'March 29 - M3 1006'!G:G,0),FALSE),"o","")</f>
        <v/>
      </c>
      <c r="K195" s="54" t="str">
        <f>if(iferror(match(A195,'March 29 - M3 1006'!L:L,0),FALSE),"o","")</f>
        <v/>
      </c>
      <c r="L195" s="55" t="str">
        <f>if(iferror(match(A195,'March 30 - M3 1006'!B:B,0),FALSE),"o","")</f>
        <v/>
      </c>
      <c r="M195" s="54" t="str">
        <f>if(iferror(match(A195,'March 30 - M3 1006'!G:G,0),FALSE),"o","")</f>
        <v/>
      </c>
      <c r="N195" s="54" t="str">
        <f>if(iferror(match(A195,'March 30 - M3 1006'!L:L,0),FALSE),"o","")</f>
        <v/>
      </c>
    </row>
    <row r="196" ht="22.5" customHeight="1">
      <c r="A196" s="58" t="s">
        <v>39</v>
      </c>
      <c r="B196" s="56">
        <f t="shared" si="1"/>
        <v>1</v>
      </c>
      <c r="C196" s="52" t="str">
        <f>if(iferror(match(A196,'March 22 - RCH 301'!B:B,0),FALSE),"o","")</f>
        <v/>
      </c>
      <c r="D196" s="53" t="str">
        <f>if(iferror(match(A196,'March 22 - RCH 301'!G:G,0),FALSE),"o","")</f>
        <v>o</v>
      </c>
      <c r="E196" s="54" t="str">
        <f>if(iferror(match(A196,'March 22 - RCH 301'!L:L,0),FALSE),"o","")</f>
        <v/>
      </c>
      <c r="F196" s="55" t="str">
        <f>if(iferror(match(A196,'March 23 - M3 1006'!B:B,0),FALSE),"o","")</f>
        <v/>
      </c>
      <c r="G196" s="54" t="str">
        <f>if(iferror(match(A196,'March 23 - M3 1006'!G:G,0),FALSE),"o","")</f>
        <v/>
      </c>
      <c r="H196" s="54" t="str">
        <f>if(iferror(match(A196,'March 23 - M3 1006'!L:L,0),FALSE),"o","")</f>
        <v/>
      </c>
      <c r="I196" s="55" t="str">
        <f>if(iferror(match(A196,'March 29 - M3 1006'!B:B,0),FALSE),"o","")</f>
        <v/>
      </c>
      <c r="J196" s="54" t="str">
        <f>if(iferror(match(A196,'March 29 - M3 1006'!G:G,0),FALSE),"o","")</f>
        <v/>
      </c>
      <c r="K196" s="54" t="str">
        <f>if(iferror(match(A196,'March 29 - M3 1006'!L:L,0),FALSE),"o","")</f>
        <v/>
      </c>
      <c r="L196" s="55" t="str">
        <f>if(iferror(match(A196,'March 30 - M3 1006'!B:B,0),FALSE),"o","")</f>
        <v/>
      </c>
      <c r="M196" s="54" t="str">
        <f>if(iferror(match(A196,'March 30 - M3 1006'!G:G,0),FALSE),"o","")</f>
        <v/>
      </c>
      <c r="N196" s="54" t="str">
        <f>if(iferror(match(A196,'March 30 - M3 1006'!L:L,0),FALSE),"o","")</f>
        <v/>
      </c>
    </row>
    <row r="197" ht="22.5" customHeight="1">
      <c r="A197" s="58" t="s">
        <v>19</v>
      </c>
      <c r="B197" s="56">
        <f t="shared" si="1"/>
        <v>12</v>
      </c>
      <c r="C197" s="52" t="str">
        <f>if(iferror(match(A197,'March 22 - RCH 301'!B:B,0),FALSE),"o","")</f>
        <v>o</v>
      </c>
      <c r="D197" s="53" t="str">
        <f>if(iferror(match(A197,'March 22 - RCH 301'!G:G,0),FALSE),"o","")</f>
        <v>o</v>
      </c>
      <c r="E197" s="54" t="str">
        <f>if(iferror(match(A197,'March 22 - RCH 301'!L:L,0),FALSE),"o","")</f>
        <v>o</v>
      </c>
      <c r="F197" s="55" t="str">
        <f>if(iferror(match(A197,'March 23 - M3 1006'!B:B,0),FALSE),"o","")</f>
        <v>o</v>
      </c>
      <c r="G197" s="54" t="str">
        <f>if(iferror(match(A197,'March 23 - M3 1006'!G:G,0),FALSE),"o","")</f>
        <v>o</v>
      </c>
      <c r="H197" s="54" t="str">
        <f>if(iferror(match(A197,'March 23 - M3 1006'!L:L,0),FALSE),"o","")</f>
        <v>o</v>
      </c>
      <c r="I197" s="55" t="str">
        <f>if(iferror(match(A197,'March 29 - M3 1006'!B:B,0),FALSE),"o","")</f>
        <v>o</v>
      </c>
      <c r="J197" s="54" t="str">
        <f>if(iferror(match(A197,'March 29 - M3 1006'!G:G,0),FALSE),"o","")</f>
        <v>o</v>
      </c>
      <c r="K197" s="54" t="str">
        <f>if(iferror(match(A197,'March 29 - M3 1006'!L:L,0),FALSE),"o","")</f>
        <v>o</v>
      </c>
      <c r="L197" s="55" t="str">
        <f>if(iferror(match(A197,'March 30 - M3 1006'!B:B,0),FALSE),"o","")</f>
        <v>o</v>
      </c>
      <c r="M197" s="54" t="str">
        <f>if(iferror(match(A197,'March 30 - M3 1006'!G:G,0),FALSE),"o","")</f>
        <v>o</v>
      </c>
      <c r="N197" s="54" t="str">
        <f>if(iferror(match(A197,'March 30 - M3 1006'!L:L,0),FALSE),"o","")</f>
        <v>o</v>
      </c>
    </row>
    <row r="198" ht="22.5" customHeight="1">
      <c r="A198" s="58" t="s">
        <v>118</v>
      </c>
      <c r="B198" s="56">
        <f t="shared" si="1"/>
        <v>3</v>
      </c>
      <c r="C198" s="52" t="str">
        <f>if(iferror(match(A198,'March 22 - RCH 301'!B:B,0),FALSE),"o","")</f>
        <v/>
      </c>
      <c r="D198" s="53" t="str">
        <f>if(iferror(match(A198,'March 22 - RCH 301'!G:G,0),FALSE),"o","")</f>
        <v/>
      </c>
      <c r="E198" s="54" t="str">
        <f>if(iferror(match(A198,'March 22 - RCH 301'!L:L,0),FALSE),"o","")</f>
        <v/>
      </c>
      <c r="F198" s="55" t="str">
        <f>if(iferror(match(A198,'March 23 - M3 1006'!B:B,0),FALSE),"o","")</f>
        <v>o</v>
      </c>
      <c r="G198" s="54" t="str">
        <f>if(iferror(match(A198,'March 23 - M3 1006'!G:G,0),FALSE),"o","")</f>
        <v>o</v>
      </c>
      <c r="H198" s="54" t="str">
        <f>if(iferror(match(A198,'March 23 - M3 1006'!L:L,0),FALSE),"o","")</f>
        <v>o</v>
      </c>
      <c r="I198" s="55" t="str">
        <f>if(iferror(match(A198,'March 29 - M3 1006'!B:B,0),FALSE),"o","")</f>
        <v/>
      </c>
      <c r="J198" s="54" t="str">
        <f>if(iferror(match(A198,'March 29 - M3 1006'!G:G,0),FALSE),"o","")</f>
        <v/>
      </c>
      <c r="K198" s="54" t="str">
        <f>if(iferror(match(A198,'March 29 - M3 1006'!L:L,0),FALSE),"o","")</f>
        <v/>
      </c>
      <c r="L198" s="55" t="str">
        <f>if(iferror(match(A198,'March 30 - M3 1006'!B:B,0),FALSE),"o","")</f>
        <v/>
      </c>
      <c r="M198" s="54" t="str">
        <f>if(iferror(match(A198,'March 30 - M3 1006'!G:G,0),FALSE),"o","")</f>
        <v/>
      </c>
      <c r="N198" s="54" t="str">
        <f>if(iferror(match(A198,'March 30 - M3 1006'!L:L,0),FALSE),"o","")</f>
        <v/>
      </c>
    </row>
    <row r="199" ht="22.5" customHeight="1">
      <c r="A199" s="58" t="s">
        <v>161</v>
      </c>
      <c r="B199" s="56">
        <f t="shared" si="1"/>
        <v>3</v>
      </c>
      <c r="C199" s="52" t="str">
        <f>if(iferror(match(A199,'March 22 - RCH 301'!B:B,0),FALSE),"o","")</f>
        <v/>
      </c>
      <c r="D199" s="53" t="str">
        <f>if(iferror(match(A199,'March 22 - RCH 301'!G:G,0),FALSE),"o","")</f>
        <v/>
      </c>
      <c r="E199" s="54" t="str">
        <f>if(iferror(match(A199,'March 22 - RCH 301'!L:L,0),FALSE),"o","")</f>
        <v/>
      </c>
      <c r="F199" s="55" t="str">
        <f>if(iferror(match(A199,'March 23 - M3 1006'!B:B,0),FALSE),"o","")</f>
        <v>o</v>
      </c>
      <c r="G199" s="54" t="str">
        <f>if(iferror(match(A199,'March 23 - M3 1006'!G:G,0),FALSE),"o","")</f>
        <v>o</v>
      </c>
      <c r="H199" s="54" t="str">
        <f>if(iferror(match(A199,'March 23 - M3 1006'!L:L,0),FALSE),"o","")</f>
        <v>o</v>
      </c>
      <c r="I199" s="55" t="str">
        <f>if(iferror(match(A199,'March 29 - M3 1006'!B:B,0),FALSE),"o","")</f>
        <v/>
      </c>
      <c r="J199" s="54" t="str">
        <f>if(iferror(match(A199,'March 29 - M3 1006'!G:G,0),FALSE),"o","")</f>
        <v/>
      </c>
      <c r="K199" s="54" t="str">
        <f>if(iferror(match(A199,'March 29 - M3 1006'!L:L,0),FALSE),"o","")</f>
        <v/>
      </c>
      <c r="L199" s="55" t="str">
        <f>if(iferror(match(A199,'March 30 - M3 1006'!B:B,0),FALSE),"o","")</f>
        <v/>
      </c>
      <c r="M199" s="54" t="str">
        <f>if(iferror(match(A199,'March 30 - M3 1006'!G:G,0),FALSE),"o","")</f>
        <v/>
      </c>
      <c r="N199" s="54" t="str">
        <f>if(iferror(match(A199,'March 30 - M3 1006'!L:L,0),FALSE),"o","")</f>
        <v/>
      </c>
    </row>
    <row r="200" ht="22.5" customHeight="1">
      <c r="A200" s="58" t="s">
        <v>158</v>
      </c>
      <c r="B200" s="59"/>
      <c r="C200" s="52" t="str">
        <f>if(iferror(match(A200,'March 22 - RCH 301'!B:B,0),FALSE),"o","")</f>
        <v/>
      </c>
      <c r="D200" s="53" t="str">
        <f>if(iferror(match(A200,'March 22 - RCH 301'!G:G,0),FALSE),"o","")</f>
        <v/>
      </c>
      <c r="E200" s="54" t="str">
        <f>if(iferror(match(A200,'March 22 - RCH 301'!L:L,0),FALSE),"o","")</f>
        <v/>
      </c>
      <c r="F200" s="55" t="str">
        <f>if(iferror(match(A200,'March 23 - M3 1006'!B:B,0),FALSE),"o","")</f>
        <v>o</v>
      </c>
      <c r="G200" s="54" t="str">
        <f>if(iferror(match(A200,'March 23 - M3 1006'!G:G,0),FALSE),"o","")</f>
        <v>o</v>
      </c>
      <c r="H200" s="54" t="str">
        <f>if(iferror(match(A200,'March 23 - M3 1006'!L:L,0),FALSE),"o","")</f>
        <v/>
      </c>
      <c r="I200" s="55" t="str">
        <f>if(iferror(match(A200,'March 29 - M3 1006'!B:B,0),FALSE),"o","")</f>
        <v>o</v>
      </c>
      <c r="J200" s="54" t="str">
        <f>if(iferror(match(A200,'March 29 - M3 1006'!G:G,0),FALSE),"o","")</f>
        <v/>
      </c>
      <c r="K200" s="54" t="str">
        <f>if(iferror(match(A200,'March 29 - M3 1006'!L:L,0),FALSE),"o","")</f>
        <v/>
      </c>
      <c r="L200" s="55" t="str">
        <f>if(iferror(match(A200,'March 30 - M3 1006'!B:B,0),FALSE),"o","")</f>
        <v>o</v>
      </c>
      <c r="M200" s="54" t="str">
        <f>if(iferror(match(A200,'March 30 - M3 1006'!G:G,0),FALSE),"o","")</f>
        <v/>
      </c>
      <c r="N200" s="54" t="str">
        <f>if(iferror(match(A200,'March 30 - M3 1006'!L:L,0),FALSE),"o","")</f>
        <v/>
      </c>
    </row>
    <row r="201" ht="22.5" customHeight="1">
      <c r="A201" s="60" t="s">
        <v>144</v>
      </c>
      <c r="B201" s="59"/>
      <c r="C201" s="52" t="str">
        <f>if(iferror(match(A201,'March 22 - RCH 301'!B:B,0),FALSE),"o","")</f>
        <v/>
      </c>
      <c r="D201" s="53" t="str">
        <f>if(iferror(match(A201,'March 22 - RCH 301'!G:G,0),FALSE),"o","")</f>
        <v/>
      </c>
      <c r="E201" s="54" t="str">
        <f>if(iferror(match(A201,'March 22 - RCH 301'!L:L,0),FALSE),"o","")</f>
        <v/>
      </c>
      <c r="F201" s="55" t="str">
        <f>if(iferror(match(A201,'March 23 - M3 1006'!B:B,0),FALSE),"o","")</f>
        <v>o</v>
      </c>
      <c r="G201" s="54" t="str">
        <f>if(iferror(match(A201,'March 23 - M3 1006'!G:G,0),FALSE),"o","")</f>
        <v>o</v>
      </c>
      <c r="H201" s="54" t="str">
        <f>if(iferror(match(A201,'March 23 - M3 1006'!L:L,0),FALSE),"o","")</f>
        <v>o</v>
      </c>
      <c r="I201" s="55" t="str">
        <f>if(iferror(match(A201,'March 29 - M3 1006'!B:B,0),FALSE),"o","")</f>
        <v/>
      </c>
      <c r="J201" s="54" t="str">
        <f>if(iferror(match(A201,'March 29 - M3 1006'!G:G,0),FALSE),"o","")</f>
        <v/>
      </c>
      <c r="K201" s="54" t="str">
        <f>if(iferror(match(A201,'March 29 - M3 1006'!L:L,0),FALSE),"o","")</f>
        <v/>
      </c>
      <c r="L201" s="55" t="str">
        <f>if(iferror(match(A201,'March 30 - M3 1006'!B:B,0),FALSE),"o","")</f>
        <v/>
      </c>
      <c r="M201" s="54" t="str">
        <f>if(iferror(match(A201,'March 30 - M3 1006'!G:G,0),FALSE),"o","")</f>
        <v/>
      </c>
      <c r="N201" s="54" t="str">
        <f>if(iferror(match(A201,'March 30 - M3 1006'!L:L,0),FALSE),"o","")</f>
        <v/>
      </c>
    </row>
    <row r="202" ht="22.5" customHeight="1">
      <c r="A202" s="58" t="s">
        <v>134</v>
      </c>
      <c r="B202" s="59"/>
      <c r="C202" s="52" t="str">
        <f>if(iferror(match(A202,'March 22 - RCH 301'!B:B,0),FALSE),"o","")</f>
        <v/>
      </c>
      <c r="D202" s="53" t="str">
        <f>if(iferror(match(A202,'March 22 - RCH 301'!G:G,0),FALSE),"o","")</f>
        <v/>
      </c>
      <c r="E202" s="54" t="str">
        <f>if(iferror(match(A202,'March 22 - RCH 301'!L:L,0),FALSE),"o","")</f>
        <v/>
      </c>
      <c r="F202" s="55" t="str">
        <f>if(iferror(match(A202,'March 23 - M3 1006'!B:B,0),FALSE),"o","")</f>
        <v>o</v>
      </c>
      <c r="G202" s="54" t="str">
        <f>if(iferror(match(A202,'March 23 - M3 1006'!G:G,0),FALSE),"o","")</f>
        <v/>
      </c>
      <c r="H202" s="54" t="str">
        <f>if(iferror(match(A202,'March 23 - M3 1006'!L:L,0),FALSE),"o","")</f>
        <v>o</v>
      </c>
      <c r="I202" s="55" t="str">
        <f>if(iferror(match(A202,'March 29 - M3 1006'!B:B,0),FALSE),"o","")</f>
        <v>o</v>
      </c>
      <c r="J202" s="54" t="str">
        <f>if(iferror(match(A202,'March 29 - M3 1006'!G:G,0),FALSE),"o","")</f>
        <v>o</v>
      </c>
      <c r="K202" s="54" t="str">
        <f>if(iferror(match(A202,'March 29 - M3 1006'!L:L,0),FALSE),"o","")</f>
        <v>o</v>
      </c>
      <c r="L202" s="55" t="str">
        <f>if(iferror(match(A202,'March 30 - M3 1006'!B:B,0),FALSE),"o","")</f>
        <v>o</v>
      </c>
      <c r="M202" s="54" t="str">
        <f>if(iferror(match(A202,'March 30 - M3 1006'!G:G,0),FALSE),"o","")</f>
        <v>o</v>
      </c>
      <c r="N202" s="54" t="str">
        <f>if(iferror(match(A202,'March 30 - M3 1006'!L:L,0),FALSE),"o","")</f>
        <v>o</v>
      </c>
    </row>
    <row r="203" ht="22.5" customHeight="1">
      <c r="A203" s="61"/>
      <c r="B203" s="59"/>
      <c r="C203" s="52" t="str">
        <f>if(iferror(match(A203,'March 22 - RCH 301'!B:B,0),FALSE),"o","")</f>
        <v/>
      </c>
      <c r="D203" s="53" t="str">
        <f>if(iferror(match(A203,'March 22 - RCH 301'!G:G,0),FALSE),"o","")</f>
        <v/>
      </c>
      <c r="E203" s="54" t="str">
        <f>if(iferror(match(A203,'March 22 - RCH 301'!L:L,0),FALSE),"o","")</f>
        <v/>
      </c>
      <c r="F203" s="55" t="str">
        <f>if(iferror(match(A203,'March 23 - M3 1006'!B:B,0),FALSE),"o","")</f>
        <v/>
      </c>
      <c r="G203" s="54" t="str">
        <f>if(iferror(match(A203,'March 23 - M3 1006'!G:G,0),FALSE),"o","")</f>
        <v/>
      </c>
      <c r="H203" s="54" t="str">
        <f>if(iferror(match(A203,'March 23 - M3 1006'!L:L,0),FALSE),"o","")</f>
        <v/>
      </c>
      <c r="I203" s="55" t="str">
        <f>if(iferror(match(A203,'March 29 - M3 1006'!B:B,0),FALSE),"o","")</f>
        <v/>
      </c>
      <c r="J203" s="54" t="str">
        <f>if(iferror(match(A203,'March 29 - M3 1006'!G:G,0),FALSE),"o","")</f>
        <v/>
      </c>
      <c r="K203" s="54" t="str">
        <f>if(iferror(match(A203,'March 29 - M3 1006'!L:L,0),FALSE),"o","")</f>
        <v/>
      </c>
      <c r="L203" s="55" t="str">
        <f>if(iferror(match(A203,'March 30 - M3 1006'!B:B,0),FALSE),"o","")</f>
        <v/>
      </c>
      <c r="M203" s="54" t="str">
        <f>if(iferror(match(A203,'March 30 - M3 1006'!G:G,0),FALSE),"o","")</f>
        <v/>
      </c>
      <c r="N203" s="54" t="str">
        <f>if(iferror(match(A203,'March 30 - M3 1006'!L:L,0),FALSE),"o","")</f>
        <v/>
      </c>
    </row>
    <row r="204" ht="22.5" customHeight="1">
      <c r="A204" s="61"/>
      <c r="B204" s="59"/>
      <c r="C204" s="52" t="str">
        <f>if(iferror(match(A204,'March 22 - RCH 301'!B:B,0),FALSE),"o","")</f>
        <v/>
      </c>
      <c r="D204" s="53" t="str">
        <f>if(iferror(match(A204,'March 22 - RCH 301'!G:G,0),FALSE),"o","")</f>
        <v/>
      </c>
      <c r="E204" s="54" t="str">
        <f>if(iferror(match(A204,'March 22 - RCH 301'!L:L,0),FALSE),"o","")</f>
        <v/>
      </c>
      <c r="F204" s="55" t="str">
        <f>if(iferror(match(A204,'March 23 - M3 1006'!B:B,0),FALSE),"o","")</f>
        <v/>
      </c>
      <c r="G204" s="54" t="str">
        <f>if(iferror(match(A204,'March 23 - M3 1006'!G:G,0),FALSE),"o","")</f>
        <v/>
      </c>
      <c r="H204" s="54" t="str">
        <f>if(iferror(match(A204,'March 23 - M3 1006'!L:L,0),FALSE),"o","")</f>
        <v/>
      </c>
      <c r="I204" s="55" t="str">
        <f>if(iferror(match(A204,'March 29 - M3 1006'!B:B,0),FALSE),"o","")</f>
        <v/>
      </c>
      <c r="J204" s="54" t="str">
        <f>if(iferror(match(A204,'March 29 - M3 1006'!G:G,0),FALSE),"o","")</f>
        <v/>
      </c>
      <c r="K204" s="54" t="str">
        <f>if(iferror(match(A204,'March 29 - M3 1006'!L:L,0),FALSE),"o","")</f>
        <v/>
      </c>
      <c r="L204" s="55" t="str">
        <f>if(iferror(match(A204,'March 30 - M3 1006'!B:B,0),FALSE),"o","")</f>
        <v/>
      </c>
      <c r="M204" s="54" t="str">
        <f>if(iferror(match(A204,'March 30 - M3 1006'!G:G,0),FALSE),"o","")</f>
        <v/>
      </c>
      <c r="N204" s="54" t="str">
        <f>if(iferror(match(A204,'March 30 - M3 1006'!L:L,0),FALSE),"o","")</f>
        <v/>
      </c>
    </row>
    <row r="205" ht="22.5" customHeight="1">
      <c r="A205" s="61"/>
      <c r="B205" s="59"/>
      <c r="C205" s="52" t="str">
        <f>if(iferror(match(A205,'March 22 - RCH 301'!B:B,0),FALSE),"o","")</f>
        <v/>
      </c>
      <c r="D205" s="53" t="str">
        <f>if(iferror(match(A205,'March 22 - RCH 301'!G:G,0),FALSE),"o","")</f>
        <v/>
      </c>
      <c r="E205" s="54" t="str">
        <f>if(iferror(match(A205,'March 22 - RCH 301'!L:L,0),FALSE),"o","")</f>
        <v/>
      </c>
      <c r="F205" s="55" t="str">
        <f>if(iferror(match(A205,'March 23 - M3 1006'!B:B,0),FALSE),"o","")</f>
        <v/>
      </c>
      <c r="G205" s="54" t="str">
        <f>if(iferror(match(A205,'March 23 - M3 1006'!G:G,0),FALSE),"o","")</f>
        <v/>
      </c>
      <c r="H205" s="54" t="str">
        <f>if(iferror(match(A205,'March 23 - M3 1006'!L:L,0),FALSE),"o","")</f>
        <v/>
      </c>
      <c r="I205" s="55" t="str">
        <f>if(iferror(match(A205,'March 29 - M3 1006'!B:B,0),FALSE),"o","")</f>
        <v/>
      </c>
      <c r="J205" s="54" t="str">
        <f>if(iferror(match(A205,'March 29 - M3 1006'!G:G,0),FALSE),"o","")</f>
        <v/>
      </c>
      <c r="K205" s="54" t="str">
        <f>if(iferror(match(A205,'March 29 - M3 1006'!L:L,0),FALSE),"o","")</f>
        <v/>
      </c>
      <c r="L205" s="55" t="str">
        <f>if(iferror(match(A205,'March 30 - M3 1006'!B:B,0),FALSE),"o","")</f>
        <v/>
      </c>
      <c r="M205" s="54" t="str">
        <f>if(iferror(match(A205,'March 30 - M3 1006'!G:G,0),FALSE),"o","")</f>
        <v/>
      </c>
      <c r="N205" s="54" t="str">
        <f>if(iferror(match(A205,'March 30 - M3 1006'!L:L,0),FALSE),"o","")</f>
        <v/>
      </c>
    </row>
    <row r="206" ht="22.5" customHeight="1">
      <c r="A206" s="61"/>
      <c r="B206" s="59"/>
      <c r="C206" s="52" t="str">
        <f>if(iferror(match(A206,'March 22 - RCH 301'!B:B,0),FALSE),"o","")</f>
        <v/>
      </c>
      <c r="D206" s="53" t="str">
        <f>if(iferror(match(A206,'March 22 - RCH 301'!G:G,0),FALSE),"o","")</f>
        <v/>
      </c>
      <c r="E206" s="54" t="str">
        <f>if(iferror(match(A206,'March 22 - RCH 301'!L:L,0),FALSE),"o","")</f>
        <v/>
      </c>
      <c r="F206" s="55" t="str">
        <f>if(iferror(match(A206,'March 23 - M3 1006'!B:B,0),FALSE),"o","")</f>
        <v/>
      </c>
      <c r="G206" s="54" t="str">
        <f>if(iferror(match(A206,'March 23 - M3 1006'!G:G,0),FALSE),"o","")</f>
        <v/>
      </c>
      <c r="H206" s="54" t="str">
        <f>if(iferror(match(A206,'March 23 - M3 1006'!L:L,0),FALSE),"o","")</f>
        <v/>
      </c>
      <c r="I206" s="55" t="str">
        <f>if(iferror(match(A206,'March 29 - M3 1006'!B:B,0),FALSE),"o","")</f>
        <v/>
      </c>
      <c r="J206" s="54" t="str">
        <f>if(iferror(match(A206,'March 29 - M3 1006'!G:G,0),FALSE),"o","")</f>
        <v/>
      </c>
      <c r="K206" s="54" t="str">
        <f>if(iferror(match(A206,'March 29 - M3 1006'!L:L,0),FALSE),"o","")</f>
        <v/>
      </c>
      <c r="L206" s="55" t="str">
        <f>if(iferror(match(A206,'March 30 - M3 1006'!B:B,0),FALSE),"o","")</f>
        <v/>
      </c>
      <c r="M206" s="54" t="str">
        <f>if(iferror(match(A206,'March 30 - M3 1006'!G:G,0),FALSE),"o","")</f>
        <v/>
      </c>
      <c r="N206" s="54" t="str">
        <f>if(iferror(match(A206,'March 30 - M3 1006'!L:L,0),FALSE),"o","")</f>
        <v/>
      </c>
    </row>
    <row r="207" ht="22.5" customHeight="1">
      <c r="A207" s="61"/>
      <c r="B207" s="59"/>
      <c r="C207" s="52" t="str">
        <f>if(iferror(match(A207,'March 22 - RCH 301'!B:B,0),FALSE),"o","")</f>
        <v/>
      </c>
      <c r="D207" s="53" t="str">
        <f>if(iferror(match(A207,'March 22 - RCH 301'!G:G,0),FALSE),"o","")</f>
        <v/>
      </c>
      <c r="E207" s="54" t="str">
        <f>if(iferror(match(A207,'March 22 - RCH 301'!L:L,0),FALSE),"o","")</f>
        <v/>
      </c>
      <c r="F207" s="55" t="str">
        <f>if(iferror(match(A207,'March 23 - M3 1006'!B:B,0),FALSE),"o","")</f>
        <v/>
      </c>
      <c r="G207" s="54" t="str">
        <f>if(iferror(match(A207,'March 23 - M3 1006'!G:G,0),FALSE),"o","")</f>
        <v/>
      </c>
      <c r="H207" s="54" t="str">
        <f>if(iferror(match(A207,'March 23 - M3 1006'!L:L,0),FALSE),"o","")</f>
        <v/>
      </c>
      <c r="I207" s="55" t="str">
        <f>if(iferror(match(A207,'March 29 - M3 1006'!B:B,0),FALSE),"o","")</f>
        <v/>
      </c>
      <c r="J207" s="54" t="str">
        <f>if(iferror(match(A207,'March 29 - M3 1006'!G:G,0),FALSE),"o","")</f>
        <v/>
      </c>
      <c r="K207" s="54" t="str">
        <f>if(iferror(match(A207,'March 29 - M3 1006'!L:L,0),FALSE),"o","")</f>
        <v/>
      </c>
      <c r="L207" s="55" t="str">
        <f>if(iferror(match(A207,'March 30 - M3 1006'!B:B,0),FALSE),"o","")</f>
        <v/>
      </c>
      <c r="M207" s="54" t="str">
        <f>if(iferror(match(A207,'March 30 - M3 1006'!G:G,0),FALSE),"o","")</f>
        <v/>
      </c>
      <c r="N207" s="54" t="str">
        <f>if(iferror(match(A207,'March 30 - M3 1006'!L:L,0),FALSE),"o","")</f>
        <v/>
      </c>
    </row>
    <row r="208" ht="22.5" customHeight="1">
      <c r="A208" s="61"/>
      <c r="B208" s="59"/>
      <c r="C208" s="52" t="str">
        <f>if(iferror(match(A208,'March 22 - RCH 301'!B:B,0),FALSE),"o","")</f>
        <v/>
      </c>
      <c r="D208" s="53" t="str">
        <f>if(iferror(match(A208,'March 22 - RCH 301'!G:G,0),FALSE),"o","")</f>
        <v/>
      </c>
      <c r="E208" s="54" t="str">
        <f>if(iferror(match(A208,'March 22 - RCH 301'!L:L,0),FALSE),"o","")</f>
        <v/>
      </c>
      <c r="F208" s="55" t="str">
        <f>if(iferror(match(A208,'March 23 - M3 1006'!B:B,0),FALSE),"o","")</f>
        <v/>
      </c>
      <c r="G208" s="54" t="str">
        <f>if(iferror(match(A208,'March 23 - M3 1006'!G:G,0),FALSE),"o","")</f>
        <v/>
      </c>
      <c r="H208" s="54" t="str">
        <f>if(iferror(match(A208,'March 23 - M3 1006'!L:L,0),FALSE),"o","")</f>
        <v/>
      </c>
      <c r="I208" s="55" t="str">
        <f>if(iferror(match(A208,'March 29 - M3 1006'!B:B,0),FALSE),"o","")</f>
        <v/>
      </c>
      <c r="J208" s="54" t="str">
        <f>if(iferror(match(A208,'March 29 - M3 1006'!G:G,0),FALSE),"o","")</f>
        <v/>
      </c>
      <c r="K208" s="54" t="str">
        <f>if(iferror(match(A208,'March 29 - M3 1006'!L:L,0),FALSE),"o","")</f>
        <v/>
      </c>
      <c r="L208" s="55" t="str">
        <f>if(iferror(match(A208,'March 30 - M3 1006'!B:B,0),FALSE),"o","")</f>
        <v/>
      </c>
      <c r="M208" s="54" t="str">
        <f>if(iferror(match(A208,'March 30 - M3 1006'!G:G,0),FALSE),"o","")</f>
        <v/>
      </c>
      <c r="N208" s="54" t="str">
        <f>if(iferror(match(A208,'March 30 - M3 1006'!L:L,0),FALSE),"o","")</f>
        <v/>
      </c>
    </row>
    <row r="209" ht="22.5" customHeight="1">
      <c r="A209" s="61"/>
      <c r="B209" s="59"/>
      <c r="C209" s="52" t="str">
        <f>if(iferror(match(A209,'March 22 - RCH 301'!B:B,0),FALSE),"o","")</f>
        <v/>
      </c>
      <c r="D209" s="53" t="str">
        <f>if(iferror(match(A209,'March 22 - RCH 301'!G:G,0),FALSE),"o","")</f>
        <v/>
      </c>
      <c r="E209" s="54" t="str">
        <f>if(iferror(match(A209,'March 22 - RCH 301'!L:L,0),FALSE),"o","")</f>
        <v/>
      </c>
      <c r="F209" s="55" t="str">
        <f>if(iferror(match(A209,'March 23 - M3 1006'!B:B,0),FALSE),"o","")</f>
        <v/>
      </c>
      <c r="G209" s="54" t="str">
        <f>if(iferror(match(A209,'March 23 - M3 1006'!G:G,0),FALSE),"o","")</f>
        <v/>
      </c>
      <c r="H209" s="54" t="str">
        <f>if(iferror(match(A209,'March 23 - M3 1006'!L:L,0),FALSE),"o","")</f>
        <v/>
      </c>
      <c r="I209" s="55" t="str">
        <f>if(iferror(match(A209,'March 29 - M3 1006'!B:B,0),FALSE),"o","")</f>
        <v/>
      </c>
      <c r="J209" s="54" t="str">
        <f>if(iferror(match(A209,'March 29 - M3 1006'!G:G,0),FALSE),"o","")</f>
        <v/>
      </c>
      <c r="K209" s="54" t="str">
        <f>if(iferror(match(A209,'March 29 - M3 1006'!L:L,0),FALSE),"o","")</f>
        <v/>
      </c>
      <c r="L209" s="55" t="str">
        <f>if(iferror(match(A209,'March 30 - M3 1006'!B:B,0),FALSE),"o","")</f>
        <v/>
      </c>
      <c r="M209" s="54" t="str">
        <f>if(iferror(match(A209,'March 30 - M3 1006'!G:G,0),FALSE),"o","")</f>
        <v/>
      </c>
      <c r="N209" s="54" t="str">
        <f>if(iferror(match(A209,'March 30 - M3 1006'!L:L,0),FALSE),"o","")</f>
        <v/>
      </c>
    </row>
    <row r="210" ht="22.5" customHeight="1">
      <c r="A210" s="61"/>
      <c r="B210" s="59"/>
      <c r="C210" s="52" t="str">
        <f>if(iferror(match(A210,'March 22 - RCH 301'!B:B,0),FALSE),"o","")</f>
        <v/>
      </c>
      <c r="D210" s="53" t="str">
        <f>if(iferror(match(A210,'March 22 - RCH 301'!G:G,0),FALSE),"o","")</f>
        <v/>
      </c>
      <c r="E210" s="54" t="str">
        <f>if(iferror(match(A210,'March 22 - RCH 301'!L:L,0),FALSE),"o","")</f>
        <v/>
      </c>
      <c r="F210" s="55" t="str">
        <f>if(iferror(match(A210,'March 23 - M3 1006'!B:B,0),FALSE),"o","")</f>
        <v/>
      </c>
      <c r="G210" s="54" t="str">
        <f>if(iferror(match(A210,'March 23 - M3 1006'!G:G,0),FALSE),"o","")</f>
        <v/>
      </c>
      <c r="H210" s="54" t="str">
        <f>if(iferror(match(A210,'March 23 - M3 1006'!L:L,0),FALSE),"o","")</f>
        <v/>
      </c>
      <c r="I210" s="55" t="str">
        <f>if(iferror(match(A210,'March 29 - M3 1006'!B:B,0),FALSE),"o","")</f>
        <v/>
      </c>
      <c r="J210" s="54" t="str">
        <f>if(iferror(match(A210,'March 29 - M3 1006'!G:G,0),FALSE),"o","")</f>
        <v/>
      </c>
      <c r="K210" s="54" t="str">
        <f>if(iferror(match(A210,'March 29 - M3 1006'!L:L,0),FALSE),"o","")</f>
        <v/>
      </c>
      <c r="L210" s="55" t="str">
        <f>if(iferror(match(A210,'March 30 - M3 1006'!B:B,0),FALSE),"o","")</f>
        <v/>
      </c>
      <c r="M210" s="54" t="str">
        <f>if(iferror(match(A210,'March 30 - M3 1006'!G:G,0),FALSE),"o","")</f>
        <v/>
      </c>
      <c r="N210" s="54" t="str">
        <f>if(iferror(match(A210,'March 30 - M3 1006'!L:L,0),FALSE),"o","")</f>
        <v/>
      </c>
    </row>
    <row r="211" ht="22.5" customHeight="1">
      <c r="A211" s="61"/>
      <c r="B211" s="59"/>
      <c r="C211" s="52" t="str">
        <f>if(iferror(match(A211,'March 22 - RCH 301'!B:B,0),FALSE),"o","")</f>
        <v/>
      </c>
      <c r="D211" s="53" t="str">
        <f>if(iferror(match(A211,'March 22 - RCH 301'!G:G,0),FALSE),"o","")</f>
        <v/>
      </c>
      <c r="E211" s="54" t="str">
        <f>if(iferror(match(A211,'March 22 - RCH 301'!L:L,0),FALSE),"o","")</f>
        <v/>
      </c>
      <c r="F211" s="55" t="str">
        <f>if(iferror(match(A211,'March 23 - M3 1006'!B:B,0),FALSE),"o","")</f>
        <v/>
      </c>
      <c r="G211" s="54" t="str">
        <f>if(iferror(match(A211,'March 23 - M3 1006'!G:G,0),FALSE),"o","")</f>
        <v/>
      </c>
      <c r="H211" s="54" t="str">
        <f>if(iferror(match(A211,'March 23 - M3 1006'!L:L,0),FALSE),"o","")</f>
        <v/>
      </c>
      <c r="I211" s="55" t="str">
        <f>if(iferror(match(A211,'March 29 - M3 1006'!B:B,0),FALSE),"o","")</f>
        <v/>
      </c>
      <c r="J211" s="54" t="str">
        <f>if(iferror(match(A211,'March 29 - M3 1006'!G:G,0),FALSE),"o","")</f>
        <v/>
      </c>
      <c r="K211" s="54" t="str">
        <f>if(iferror(match(A211,'March 29 - M3 1006'!L:L,0),FALSE),"o","")</f>
        <v/>
      </c>
      <c r="L211" s="55" t="str">
        <f>if(iferror(match(A211,'March 30 - M3 1006'!B:B,0),FALSE),"o","")</f>
        <v/>
      </c>
      <c r="M211" s="54" t="str">
        <f>if(iferror(match(A211,'March 30 - M3 1006'!G:G,0),FALSE),"o","")</f>
        <v/>
      </c>
      <c r="N211" s="54" t="str">
        <f>if(iferror(match(A211,'March 30 - M3 1006'!L:L,0),FALSE),"o","")</f>
        <v/>
      </c>
    </row>
    <row r="212" ht="22.5" customHeight="1">
      <c r="A212" s="61"/>
      <c r="B212" s="59"/>
      <c r="C212" s="52" t="str">
        <f>if(iferror(match(A212,'March 22 - RCH 301'!B:B,0),FALSE),"o","")</f>
        <v/>
      </c>
      <c r="D212" s="53" t="str">
        <f>if(iferror(match(A212,'March 22 - RCH 301'!G:G,0),FALSE),"o","")</f>
        <v/>
      </c>
      <c r="E212" s="54" t="str">
        <f>if(iferror(match(A212,'March 22 - RCH 301'!L:L,0),FALSE),"o","")</f>
        <v/>
      </c>
      <c r="F212" s="55" t="str">
        <f>if(iferror(match(A212,'March 23 - M3 1006'!B:B,0),FALSE),"o","")</f>
        <v/>
      </c>
      <c r="G212" s="54" t="str">
        <f>if(iferror(match(A212,'March 23 - M3 1006'!G:G,0),FALSE),"o","")</f>
        <v/>
      </c>
      <c r="H212" s="54" t="str">
        <f>if(iferror(match(A212,'March 23 - M3 1006'!L:L,0),FALSE),"o","")</f>
        <v/>
      </c>
      <c r="I212" s="55" t="str">
        <f>if(iferror(match(A212,'March 29 - M3 1006'!B:B,0),FALSE),"o","")</f>
        <v/>
      </c>
      <c r="J212" s="54" t="str">
        <f>if(iferror(match(A212,'March 29 - M3 1006'!G:G,0),FALSE),"o","")</f>
        <v/>
      </c>
      <c r="K212" s="54" t="str">
        <f>if(iferror(match(A212,'March 29 - M3 1006'!L:L,0),FALSE),"o","")</f>
        <v/>
      </c>
      <c r="L212" s="55" t="str">
        <f>if(iferror(match(A212,'March 30 - M3 1006'!B:B,0),FALSE),"o","")</f>
        <v/>
      </c>
      <c r="M212" s="54" t="str">
        <f>if(iferror(match(A212,'March 30 - M3 1006'!G:G,0),FALSE),"o","")</f>
        <v/>
      </c>
      <c r="N212" s="54" t="str">
        <f>if(iferror(match(A212,'March 30 - M3 1006'!L:L,0),FALSE),"o","")</f>
        <v/>
      </c>
    </row>
    <row r="213" ht="22.5" customHeight="1">
      <c r="A213" s="61"/>
      <c r="B213" s="59"/>
      <c r="C213" s="52" t="str">
        <f>if(iferror(match(A213,'March 22 - RCH 301'!B:B,0),FALSE),"o","")</f>
        <v/>
      </c>
      <c r="D213" s="53" t="str">
        <f>if(iferror(match(A213,'March 22 - RCH 301'!G:G,0),FALSE),"o","")</f>
        <v/>
      </c>
      <c r="E213" s="54" t="str">
        <f>if(iferror(match(A213,'March 22 - RCH 301'!L:L,0),FALSE),"o","")</f>
        <v/>
      </c>
      <c r="F213" s="55" t="str">
        <f>if(iferror(match(A213,'March 23 - M3 1006'!B:B,0),FALSE),"o","")</f>
        <v/>
      </c>
      <c r="G213" s="54" t="str">
        <f>if(iferror(match(A213,'March 23 - M3 1006'!G:G,0),FALSE),"o","")</f>
        <v/>
      </c>
      <c r="H213" s="54" t="str">
        <f>if(iferror(match(A213,'March 23 - M3 1006'!L:L,0),FALSE),"o","")</f>
        <v/>
      </c>
      <c r="I213" s="55" t="str">
        <f>if(iferror(match(A213,'March 29 - M3 1006'!B:B,0),FALSE),"o","")</f>
        <v/>
      </c>
      <c r="J213" s="54" t="str">
        <f>if(iferror(match(A213,'March 29 - M3 1006'!G:G,0),FALSE),"o","")</f>
        <v/>
      </c>
      <c r="K213" s="54" t="str">
        <f>if(iferror(match(A213,'March 29 - M3 1006'!L:L,0),FALSE),"o","")</f>
        <v/>
      </c>
      <c r="L213" s="55" t="str">
        <f>if(iferror(match(A213,'March 30 - M3 1006'!B:B,0),FALSE),"o","")</f>
        <v/>
      </c>
      <c r="M213" s="54" t="str">
        <f>if(iferror(match(A213,'March 30 - M3 1006'!G:G,0),FALSE),"o","")</f>
        <v/>
      </c>
      <c r="N213" s="54" t="str">
        <f>if(iferror(match(A213,'March 30 - M3 1006'!L:L,0),FALSE),"o","")</f>
        <v/>
      </c>
    </row>
    <row r="214" ht="22.5" customHeight="1">
      <c r="A214" s="61"/>
      <c r="B214" s="59"/>
      <c r="C214" s="52" t="str">
        <f>if(iferror(match(A214,'March 22 - RCH 301'!B:B,0),FALSE),"o","")</f>
        <v/>
      </c>
      <c r="D214" s="53" t="str">
        <f>if(iferror(match(A214,'March 22 - RCH 301'!G:G,0),FALSE),"o","")</f>
        <v/>
      </c>
      <c r="E214" s="54" t="str">
        <f>if(iferror(match(A214,'March 22 - RCH 301'!L:L,0),FALSE),"o","")</f>
        <v/>
      </c>
      <c r="F214" s="55" t="str">
        <f>if(iferror(match(A214,'March 23 - M3 1006'!B:B,0),FALSE),"o","")</f>
        <v/>
      </c>
      <c r="G214" s="54" t="str">
        <f>if(iferror(match(A214,'March 23 - M3 1006'!G:G,0),FALSE),"o","")</f>
        <v/>
      </c>
      <c r="H214" s="54" t="str">
        <f>if(iferror(match(A214,'March 23 - M3 1006'!L:L,0),FALSE),"o","")</f>
        <v/>
      </c>
      <c r="I214" s="55" t="str">
        <f>if(iferror(match(A214,'March 29 - M3 1006'!B:B,0),FALSE),"o","")</f>
        <v/>
      </c>
      <c r="J214" s="54" t="str">
        <f>if(iferror(match(A214,'March 29 - M3 1006'!G:G,0),FALSE),"o","")</f>
        <v/>
      </c>
      <c r="K214" s="54" t="str">
        <f>if(iferror(match(A214,'March 29 - M3 1006'!L:L,0),FALSE),"o","")</f>
        <v/>
      </c>
      <c r="L214" s="55" t="str">
        <f>if(iferror(match(A214,'March 30 - M3 1006'!B:B,0),FALSE),"o","")</f>
        <v/>
      </c>
      <c r="M214" s="54" t="str">
        <f>if(iferror(match(A214,'March 30 - M3 1006'!G:G,0),FALSE),"o","")</f>
        <v/>
      </c>
      <c r="N214" s="54" t="str">
        <f>if(iferror(match(A214,'March 30 - M3 1006'!L:L,0),FALSE),"o","")</f>
        <v/>
      </c>
    </row>
    <row r="215" ht="22.5" customHeight="1">
      <c r="A215" s="61"/>
      <c r="B215" s="59"/>
      <c r="C215" s="52" t="str">
        <f>if(iferror(match(A215,'March 22 - RCH 301'!B:B,0),FALSE),"o","")</f>
        <v/>
      </c>
      <c r="D215" s="53" t="str">
        <f>if(iferror(match(A215,'March 22 - RCH 301'!G:G,0),FALSE),"o","")</f>
        <v/>
      </c>
      <c r="E215" s="54" t="str">
        <f>if(iferror(match(A215,'March 22 - RCH 301'!L:L,0),FALSE),"o","")</f>
        <v/>
      </c>
      <c r="F215" s="55" t="str">
        <f>if(iferror(match(A215,'March 23 - M3 1006'!B:B,0),FALSE),"o","")</f>
        <v/>
      </c>
      <c r="G215" s="54" t="str">
        <f>if(iferror(match(A215,'March 23 - M3 1006'!G:G,0),FALSE),"o","")</f>
        <v/>
      </c>
      <c r="H215" s="54" t="str">
        <f>if(iferror(match(A215,'March 23 - M3 1006'!L:L,0),FALSE),"o","")</f>
        <v/>
      </c>
      <c r="I215" s="55" t="str">
        <f>if(iferror(match(A215,'March 29 - M3 1006'!B:B,0),FALSE),"o","")</f>
        <v/>
      </c>
      <c r="J215" s="54" t="str">
        <f>if(iferror(match(A215,'March 29 - M3 1006'!G:G,0),FALSE),"o","")</f>
        <v/>
      </c>
      <c r="K215" s="54" t="str">
        <f>if(iferror(match(A215,'March 29 - M3 1006'!L:L,0),FALSE),"o","")</f>
        <v/>
      </c>
      <c r="L215" s="55" t="str">
        <f>if(iferror(match(A215,'March 30 - M3 1006'!B:B,0),FALSE),"o","")</f>
        <v/>
      </c>
      <c r="M215" s="54" t="str">
        <f>if(iferror(match(A215,'March 30 - M3 1006'!G:G,0),FALSE),"o","")</f>
        <v/>
      </c>
      <c r="N215" s="54" t="str">
        <f>if(iferror(match(A215,'March 30 - M3 1006'!L:L,0),FALSE),"o","")</f>
        <v/>
      </c>
    </row>
    <row r="216" ht="22.5" customHeight="1">
      <c r="A216" s="61"/>
      <c r="B216" s="59"/>
      <c r="C216" s="52" t="str">
        <f>if(iferror(match(A216,'March 22 - RCH 301'!B:B,0),FALSE),"o","")</f>
        <v/>
      </c>
      <c r="D216" s="53" t="str">
        <f>if(iferror(match(A216,'March 22 - RCH 301'!G:G,0),FALSE),"o","")</f>
        <v/>
      </c>
      <c r="E216" s="54" t="str">
        <f>if(iferror(match(A216,'March 22 - RCH 301'!L:L,0),FALSE),"o","")</f>
        <v/>
      </c>
      <c r="F216" s="55" t="str">
        <f>if(iferror(match(A216,'March 23 - M3 1006'!B:B,0),FALSE),"o","")</f>
        <v/>
      </c>
      <c r="G216" s="54" t="str">
        <f>if(iferror(match(A216,'March 23 - M3 1006'!G:G,0),FALSE),"o","")</f>
        <v/>
      </c>
      <c r="H216" s="54" t="str">
        <f>if(iferror(match(A216,'March 23 - M3 1006'!L:L,0),FALSE),"o","")</f>
        <v/>
      </c>
      <c r="I216" s="55" t="str">
        <f>if(iferror(match(A216,'March 29 - M3 1006'!B:B,0),FALSE),"o","")</f>
        <v/>
      </c>
      <c r="J216" s="54" t="str">
        <f>if(iferror(match(A216,'March 29 - M3 1006'!G:G,0),FALSE),"o","")</f>
        <v/>
      </c>
      <c r="K216" s="54" t="str">
        <f>if(iferror(match(A216,'March 29 - M3 1006'!L:L,0),FALSE),"o","")</f>
        <v/>
      </c>
      <c r="L216" s="55" t="str">
        <f>if(iferror(match(A216,'March 30 - M3 1006'!B:B,0),FALSE),"o","")</f>
        <v/>
      </c>
      <c r="M216" s="54" t="str">
        <f>if(iferror(match(A216,'March 30 - M3 1006'!G:G,0),FALSE),"o","")</f>
        <v/>
      </c>
      <c r="N216" s="54" t="str">
        <f>if(iferror(match(A216,'March 30 - M3 1006'!L:L,0),FALSE),"o","")</f>
        <v/>
      </c>
    </row>
    <row r="217" ht="22.5" customHeight="1">
      <c r="A217" s="61"/>
      <c r="B217" s="59"/>
      <c r="C217" s="52" t="str">
        <f>if(iferror(match(A217,'March 22 - RCH 301'!B:B,0),FALSE),"o","")</f>
        <v/>
      </c>
      <c r="D217" s="53" t="str">
        <f>if(iferror(match(A217,'March 22 - RCH 301'!G:G,0),FALSE),"o","")</f>
        <v/>
      </c>
      <c r="E217" s="54" t="str">
        <f>if(iferror(match(A217,'March 22 - RCH 301'!L:L,0),FALSE),"o","")</f>
        <v/>
      </c>
      <c r="F217" s="55" t="str">
        <f>if(iferror(match(A217,'March 23 - M3 1006'!B:B,0),FALSE),"o","")</f>
        <v/>
      </c>
      <c r="G217" s="54" t="str">
        <f>if(iferror(match(A217,'March 23 - M3 1006'!G:G,0),FALSE),"o","")</f>
        <v/>
      </c>
      <c r="H217" s="54" t="str">
        <f>if(iferror(match(A217,'March 23 - M3 1006'!L:L,0),FALSE),"o","")</f>
        <v/>
      </c>
      <c r="I217" s="55" t="str">
        <f>if(iferror(match(A217,'March 29 - M3 1006'!B:B,0),FALSE),"o","")</f>
        <v/>
      </c>
      <c r="J217" s="54" t="str">
        <f>if(iferror(match(A217,'March 29 - M3 1006'!G:G,0),FALSE),"o","")</f>
        <v/>
      </c>
      <c r="K217" s="54" t="str">
        <f>if(iferror(match(A217,'March 29 - M3 1006'!L:L,0),FALSE),"o","")</f>
        <v/>
      </c>
      <c r="L217" s="55" t="str">
        <f>if(iferror(match(A217,'March 30 - M3 1006'!B:B,0),FALSE),"o","")</f>
        <v/>
      </c>
      <c r="M217" s="54" t="str">
        <f>if(iferror(match(A217,'March 30 - M3 1006'!G:G,0),FALSE),"o","")</f>
        <v/>
      </c>
      <c r="N217" s="54" t="str">
        <f>if(iferror(match(A217,'March 30 - M3 1006'!L:L,0),FALSE),"o","")</f>
        <v/>
      </c>
    </row>
    <row r="218" ht="22.5" customHeight="1">
      <c r="A218" s="61"/>
      <c r="B218" s="59"/>
      <c r="C218" s="52" t="str">
        <f>if(iferror(match(A218,'March 22 - RCH 301'!B:B,0),FALSE),"o","")</f>
        <v/>
      </c>
      <c r="D218" s="53" t="str">
        <f>if(iferror(match(A218,'March 22 - RCH 301'!G:G,0),FALSE),"o","")</f>
        <v/>
      </c>
      <c r="E218" s="54" t="str">
        <f>if(iferror(match(A218,'March 22 - RCH 301'!L:L,0),FALSE),"o","")</f>
        <v/>
      </c>
      <c r="F218" s="55" t="str">
        <f>if(iferror(match(A218,'March 23 - M3 1006'!B:B,0),FALSE),"o","")</f>
        <v/>
      </c>
      <c r="G218" s="54" t="str">
        <f>if(iferror(match(A218,'March 23 - M3 1006'!G:G,0),FALSE),"o","")</f>
        <v/>
      </c>
      <c r="H218" s="54" t="str">
        <f>if(iferror(match(A218,'March 23 - M3 1006'!L:L,0),FALSE),"o","")</f>
        <v/>
      </c>
      <c r="I218" s="55" t="str">
        <f>if(iferror(match(A218,'March 29 - M3 1006'!B:B,0),FALSE),"o","")</f>
        <v/>
      </c>
      <c r="J218" s="54" t="str">
        <f>if(iferror(match(A218,'March 29 - M3 1006'!G:G,0),FALSE),"o","")</f>
        <v/>
      </c>
      <c r="K218" s="54" t="str">
        <f>if(iferror(match(A218,'March 29 - M3 1006'!L:L,0),FALSE),"o","")</f>
        <v/>
      </c>
      <c r="L218" s="55" t="str">
        <f>if(iferror(match(A218,'March 30 - M3 1006'!B:B,0),FALSE),"o","")</f>
        <v/>
      </c>
      <c r="M218" s="54" t="str">
        <f>if(iferror(match(A218,'March 30 - M3 1006'!G:G,0),FALSE),"o","")</f>
        <v/>
      </c>
      <c r="N218" s="54" t="str">
        <f>if(iferror(match(A218,'March 30 - M3 1006'!L:L,0),FALSE),"o","")</f>
        <v/>
      </c>
    </row>
    <row r="219" ht="22.5" customHeight="1">
      <c r="A219" s="61"/>
      <c r="B219" s="59"/>
      <c r="C219" s="52" t="str">
        <f>if(iferror(match(A219,'March 22 - RCH 301'!B:B,0),FALSE),"o","")</f>
        <v/>
      </c>
      <c r="D219" s="53" t="str">
        <f>if(iferror(match(A219,'March 22 - RCH 301'!G:G,0),FALSE),"o","")</f>
        <v/>
      </c>
      <c r="E219" s="54" t="str">
        <f>if(iferror(match(A219,'March 22 - RCH 301'!L:L,0),FALSE),"o","")</f>
        <v/>
      </c>
      <c r="F219" s="55" t="str">
        <f>if(iferror(match(A219,'March 23 - M3 1006'!B:B,0),FALSE),"o","")</f>
        <v/>
      </c>
      <c r="G219" s="54" t="str">
        <f>if(iferror(match(A219,'March 23 - M3 1006'!G:G,0),FALSE),"o","")</f>
        <v/>
      </c>
      <c r="H219" s="54" t="str">
        <f>if(iferror(match(A219,'March 23 - M3 1006'!L:L,0),FALSE),"o","")</f>
        <v/>
      </c>
      <c r="I219" s="55" t="str">
        <f>if(iferror(match(A219,'March 29 - M3 1006'!B:B,0),FALSE),"o","")</f>
        <v/>
      </c>
      <c r="J219" s="54" t="str">
        <f>if(iferror(match(A219,'March 29 - M3 1006'!G:G,0),FALSE),"o","")</f>
        <v/>
      </c>
      <c r="K219" s="54" t="str">
        <f>if(iferror(match(A219,'March 29 - M3 1006'!L:L,0),FALSE),"o","")</f>
        <v/>
      </c>
      <c r="L219" s="55" t="str">
        <f>if(iferror(match(A219,'March 30 - M3 1006'!B:B,0),FALSE),"o","")</f>
        <v/>
      </c>
      <c r="M219" s="54" t="str">
        <f>if(iferror(match(A219,'March 30 - M3 1006'!G:G,0),FALSE),"o","")</f>
        <v/>
      </c>
      <c r="N219" s="54" t="str">
        <f>if(iferror(match(A219,'March 30 - M3 1006'!L:L,0),FALSE),"o","")</f>
        <v/>
      </c>
    </row>
    <row r="220">
      <c r="C220" s="62"/>
      <c r="F220" s="62"/>
      <c r="I220" s="62"/>
      <c r="L220" s="62"/>
    </row>
    <row r="221">
      <c r="C221" s="62"/>
      <c r="F221" s="62"/>
      <c r="I221" s="62"/>
      <c r="L221" s="62"/>
    </row>
    <row r="222">
      <c r="C222" s="62"/>
      <c r="F222" s="62"/>
      <c r="I222" s="62"/>
      <c r="L222" s="62"/>
    </row>
    <row r="223">
      <c r="C223" s="62"/>
      <c r="F223" s="62"/>
      <c r="I223" s="62"/>
      <c r="L223" s="62"/>
    </row>
    <row r="224">
      <c r="C224" s="62"/>
      <c r="F224" s="62"/>
      <c r="I224" s="62"/>
      <c r="L224" s="62"/>
    </row>
    <row r="225">
      <c r="C225" s="62"/>
      <c r="F225" s="62"/>
      <c r="I225" s="62"/>
      <c r="L225" s="62"/>
    </row>
    <row r="226">
      <c r="C226" s="62"/>
      <c r="F226" s="62"/>
      <c r="I226" s="62"/>
      <c r="L226" s="62"/>
    </row>
    <row r="227">
      <c r="C227" s="62"/>
      <c r="F227" s="62"/>
      <c r="I227" s="62"/>
      <c r="L227" s="62"/>
    </row>
    <row r="228">
      <c r="C228" s="62"/>
      <c r="F228" s="62"/>
      <c r="I228" s="62"/>
      <c r="L228" s="62"/>
    </row>
    <row r="229">
      <c r="C229" s="62"/>
      <c r="F229" s="62"/>
      <c r="I229" s="62"/>
      <c r="L229" s="62"/>
    </row>
    <row r="230">
      <c r="C230" s="62"/>
      <c r="F230" s="62"/>
      <c r="I230" s="62"/>
      <c r="L230" s="62"/>
    </row>
    <row r="231">
      <c r="C231" s="62"/>
      <c r="F231" s="62"/>
      <c r="I231" s="62"/>
      <c r="L231" s="62"/>
    </row>
    <row r="232">
      <c r="C232" s="62"/>
      <c r="F232" s="62"/>
      <c r="I232" s="62"/>
      <c r="L232" s="62"/>
    </row>
    <row r="233">
      <c r="C233" s="62"/>
      <c r="F233" s="62"/>
      <c r="I233" s="62"/>
      <c r="L233" s="62"/>
    </row>
    <row r="234">
      <c r="C234" s="62"/>
      <c r="F234" s="62"/>
      <c r="I234" s="62"/>
      <c r="L234" s="62"/>
    </row>
    <row r="235">
      <c r="C235" s="62"/>
      <c r="F235" s="62"/>
      <c r="I235" s="62"/>
      <c r="L235" s="62"/>
    </row>
    <row r="236">
      <c r="C236" s="62"/>
      <c r="F236" s="62"/>
      <c r="I236" s="62"/>
      <c r="L236" s="62"/>
    </row>
    <row r="237">
      <c r="C237" s="62"/>
      <c r="F237" s="62"/>
      <c r="I237" s="62"/>
      <c r="L237" s="62"/>
    </row>
    <row r="238">
      <c r="C238" s="62"/>
      <c r="F238" s="62"/>
      <c r="I238" s="62"/>
      <c r="L238" s="62"/>
    </row>
    <row r="239">
      <c r="C239" s="62"/>
      <c r="F239" s="62"/>
      <c r="I239" s="62"/>
      <c r="L239" s="62"/>
    </row>
    <row r="240">
      <c r="C240" s="62"/>
      <c r="F240" s="62"/>
      <c r="I240" s="62"/>
      <c r="L240" s="62"/>
    </row>
    <row r="241">
      <c r="C241" s="62"/>
      <c r="F241" s="62"/>
      <c r="I241" s="62"/>
      <c r="L241" s="62"/>
    </row>
    <row r="242">
      <c r="C242" s="62"/>
      <c r="F242" s="62"/>
      <c r="I242" s="62"/>
      <c r="L242" s="62"/>
    </row>
    <row r="243">
      <c r="C243" s="62"/>
      <c r="F243" s="62"/>
      <c r="I243" s="62"/>
      <c r="L243" s="62"/>
    </row>
    <row r="244">
      <c r="C244" s="62"/>
      <c r="F244" s="62"/>
      <c r="I244" s="62"/>
      <c r="L244" s="62"/>
    </row>
    <row r="245">
      <c r="C245" s="62"/>
      <c r="F245" s="62"/>
      <c r="I245" s="62"/>
      <c r="L245" s="62"/>
    </row>
    <row r="246">
      <c r="C246" s="62"/>
      <c r="F246" s="62"/>
      <c r="I246" s="62"/>
      <c r="L246" s="62"/>
    </row>
    <row r="247">
      <c r="C247" s="62"/>
      <c r="F247" s="62"/>
      <c r="I247" s="62"/>
      <c r="L247" s="62"/>
    </row>
    <row r="248">
      <c r="C248" s="62"/>
      <c r="F248" s="62"/>
      <c r="I248" s="62"/>
      <c r="L248" s="62"/>
    </row>
    <row r="249">
      <c r="C249" s="62"/>
      <c r="F249" s="62"/>
      <c r="I249" s="62"/>
      <c r="L249" s="62"/>
    </row>
    <row r="250">
      <c r="C250" s="62"/>
      <c r="F250" s="62"/>
      <c r="I250" s="62"/>
      <c r="L250" s="62"/>
    </row>
    <row r="251">
      <c r="C251" s="62"/>
      <c r="F251" s="62"/>
      <c r="I251" s="62"/>
      <c r="L251" s="62"/>
    </row>
    <row r="252">
      <c r="C252" s="62"/>
      <c r="F252" s="62"/>
      <c r="I252" s="62"/>
      <c r="L252" s="62"/>
    </row>
    <row r="253">
      <c r="C253" s="62"/>
      <c r="F253" s="62"/>
      <c r="I253" s="62"/>
      <c r="L253" s="62"/>
    </row>
    <row r="254">
      <c r="C254" s="62"/>
      <c r="F254" s="62"/>
      <c r="I254" s="62"/>
      <c r="L254" s="62"/>
    </row>
    <row r="255">
      <c r="C255" s="62"/>
      <c r="F255" s="62"/>
      <c r="I255" s="62"/>
      <c r="L255" s="62"/>
    </row>
    <row r="256">
      <c r="C256" s="62"/>
      <c r="F256" s="62"/>
      <c r="I256" s="62"/>
      <c r="L256" s="62"/>
    </row>
    <row r="257">
      <c r="C257" s="62"/>
      <c r="F257" s="62"/>
      <c r="I257" s="62"/>
      <c r="L257" s="62"/>
    </row>
    <row r="258">
      <c r="C258" s="62"/>
      <c r="F258" s="62"/>
      <c r="I258" s="62"/>
      <c r="L258" s="62"/>
    </row>
    <row r="259">
      <c r="C259" s="62"/>
      <c r="F259" s="62"/>
      <c r="I259" s="62"/>
      <c r="L259" s="62"/>
    </row>
    <row r="260">
      <c r="C260" s="62"/>
      <c r="F260" s="62"/>
      <c r="I260" s="62"/>
      <c r="L260" s="62"/>
    </row>
    <row r="261">
      <c r="C261" s="62"/>
      <c r="F261" s="62"/>
      <c r="I261" s="62"/>
      <c r="L261" s="62"/>
    </row>
    <row r="262">
      <c r="C262" s="62"/>
      <c r="F262" s="62"/>
      <c r="I262" s="62"/>
      <c r="L262" s="62"/>
    </row>
    <row r="263">
      <c r="C263" s="62"/>
      <c r="F263" s="62"/>
      <c r="I263" s="62"/>
      <c r="L263" s="62"/>
    </row>
    <row r="264">
      <c r="C264" s="62"/>
      <c r="F264" s="62"/>
      <c r="I264" s="62"/>
      <c r="L264" s="62"/>
    </row>
    <row r="265">
      <c r="C265" s="62"/>
      <c r="F265" s="62"/>
      <c r="I265" s="62"/>
      <c r="L265" s="62"/>
    </row>
    <row r="266">
      <c r="C266" s="62"/>
      <c r="F266" s="62"/>
      <c r="I266" s="62"/>
      <c r="L266" s="62"/>
    </row>
    <row r="267">
      <c r="C267" s="62"/>
      <c r="F267" s="62"/>
      <c r="I267" s="62"/>
      <c r="L267" s="62"/>
    </row>
    <row r="268">
      <c r="C268" s="62"/>
      <c r="F268" s="62"/>
      <c r="I268" s="62"/>
      <c r="L268" s="62"/>
    </row>
    <row r="269">
      <c r="C269" s="62"/>
      <c r="F269" s="62"/>
      <c r="I269" s="62"/>
      <c r="L269" s="62"/>
    </row>
    <row r="270">
      <c r="C270" s="62"/>
      <c r="F270" s="62"/>
      <c r="I270" s="62"/>
      <c r="L270" s="62"/>
    </row>
    <row r="271">
      <c r="C271" s="62"/>
      <c r="F271" s="62"/>
      <c r="I271" s="62"/>
      <c r="L271" s="62"/>
    </row>
    <row r="272">
      <c r="C272" s="62"/>
      <c r="F272" s="62"/>
      <c r="I272" s="62"/>
      <c r="L272" s="62"/>
    </row>
    <row r="273">
      <c r="C273" s="62"/>
      <c r="F273" s="62"/>
      <c r="I273" s="62"/>
      <c r="L273" s="62"/>
    </row>
    <row r="274">
      <c r="C274" s="62"/>
      <c r="F274" s="62"/>
      <c r="I274" s="62"/>
      <c r="L274" s="62"/>
    </row>
    <row r="275">
      <c r="C275" s="62"/>
      <c r="F275" s="62"/>
      <c r="I275" s="62"/>
      <c r="L275" s="62"/>
    </row>
    <row r="276">
      <c r="C276" s="62"/>
      <c r="F276" s="62"/>
      <c r="I276" s="62"/>
      <c r="L276" s="62"/>
    </row>
    <row r="277">
      <c r="C277" s="62"/>
      <c r="F277" s="62"/>
      <c r="I277" s="62"/>
      <c r="L277" s="62"/>
    </row>
    <row r="278">
      <c r="C278" s="62"/>
      <c r="F278" s="62"/>
      <c r="I278" s="62"/>
      <c r="L278" s="62"/>
    </row>
    <row r="279">
      <c r="C279" s="62"/>
      <c r="F279" s="62"/>
      <c r="I279" s="62"/>
      <c r="L279" s="62"/>
    </row>
    <row r="280">
      <c r="C280" s="62"/>
      <c r="F280" s="62"/>
      <c r="I280" s="62"/>
      <c r="L280" s="62"/>
    </row>
    <row r="281">
      <c r="C281" s="62"/>
      <c r="F281" s="62"/>
      <c r="I281" s="62"/>
      <c r="L281" s="62"/>
    </row>
    <row r="282">
      <c r="C282" s="62"/>
      <c r="F282" s="62"/>
      <c r="I282" s="62"/>
      <c r="L282" s="62"/>
    </row>
    <row r="283">
      <c r="C283" s="62"/>
      <c r="F283" s="62"/>
      <c r="I283" s="62"/>
      <c r="L283" s="62"/>
    </row>
    <row r="284">
      <c r="C284" s="62"/>
      <c r="F284" s="62"/>
      <c r="I284" s="62"/>
      <c r="L284" s="62"/>
    </row>
    <row r="285">
      <c r="C285" s="62"/>
      <c r="F285" s="62"/>
      <c r="I285" s="62"/>
      <c r="L285" s="62"/>
    </row>
    <row r="286">
      <c r="C286" s="62"/>
      <c r="F286" s="62"/>
      <c r="I286" s="62"/>
      <c r="L286" s="62"/>
    </row>
    <row r="287">
      <c r="C287" s="62"/>
      <c r="F287" s="62"/>
      <c r="I287" s="62"/>
      <c r="L287" s="62"/>
    </row>
    <row r="288">
      <c r="C288" s="62"/>
      <c r="F288" s="62"/>
      <c r="I288" s="62"/>
      <c r="L288" s="62"/>
    </row>
    <row r="289">
      <c r="C289" s="62"/>
      <c r="F289" s="62"/>
      <c r="I289" s="62"/>
      <c r="L289" s="62"/>
    </row>
    <row r="290">
      <c r="C290" s="62"/>
      <c r="F290" s="62"/>
      <c r="I290" s="62"/>
      <c r="L290" s="62"/>
    </row>
    <row r="291">
      <c r="C291" s="62"/>
      <c r="F291" s="62"/>
      <c r="I291" s="62"/>
      <c r="L291" s="62"/>
    </row>
    <row r="292">
      <c r="C292" s="62"/>
      <c r="F292" s="62"/>
      <c r="I292" s="62"/>
      <c r="L292" s="62"/>
    </row>
    <row r="293">
      <c r="C293" s="62"/>
      <c r="F293" s="62"/>
      <c r="I293" s="62"/>
      <c r="L293" s="62"/>
    </row>
    <row r="294">
      <c r="C294" s="62"/>
      <c r="F294" s="62"/>
      <c r="I294" s="62"/>
      <c r="L294" s="62"/>
    </row>
    <row r="295">
      <c r="C295" s="62"/>
      <c r="F295" s="62"/>
      <c r="I295" s="62"/>
      <c r="L295" s="62"/>
    </row>
    <row r="296">
      <c r="C296" s="62"/>
      <c r="F296" s="62"/>
      <c r="I296" s="62"/>
      <c r="L296" s="62"/>
    </row>
    <row r="297">
      <c r="C297" s="62"/>
      <c r="F297" s="62"/>
      <c r="I297" s="62"/>
      <c r="L297" s="62"/>
    </row>
    <row r="298">
      <c r="C298" s="62"/>
      <c r="F298" s="62"/>
      <c r="I298" s="62"/>
      <c r="L298" s="62"/>
    </row>
    <row r="299">
      <c r="C299" s="62"/>
      <c r="F299" s="62"/>
      <c r="I299" s="62"/>
      <c r="L299" s="62"/>
    </row>
    <row r="300">
      <c r="C300" s="62"/>
      <c r="F300" s="62"/>
      <c r="I300" s="62"/>
      <c r="L300" s="62"/>
    </row>
    <row r="301">
      <c r="C301" s="62"/>
      <c r="F301" s="62"/>
      <c r="I301" s="62"/>
      <c r="L301" s="62"/>
    </row>
    <row r="302">
      <c r="C302" s="62"/>
      <c r="F302" s="62"/>
      <c r="I302" s="62"/>
      <c r="L302" s="62"/>
    </row>
    <row r="303">
      <c r="C303" s="62"/>
      <c r="F303" s="62"/>
      <c r="I303" s="62"/>
      <c r="L303" s="62"/>
    </row>
    <row r="304">
      <c r="C304" s="62"/>
      <c r="F304" s="62"/>
      <c r="I304" s="62"/>
      <c r="L304" s="62"/>
    </row>
    <row r="305">
      <c r="C305" s="62"/>
      <c r="F305" s="62"/>
      <c r="I305" s="62"/>
      <c r="L305" s="62"/>
    </row>
    <row r="306">
      <c r="C306" s="62"/>
      <c r="F306" s="62"/>
      <c r="I306" s="62"/>
      <c r="L306" s="62"/>
    </row>
    <row r="307">
      <c r="C307" s="62"/>
      <c r="F307" s="62"/>
      <c r="I307" s="62"/>
      <c r="L307" s="62"/>
    </row>
    <row r="308">
      <c r="C308" s="62"/>
      <c r="F308" s="62"/>
      <c r="I308" s="62"/>
      <c r="L308" s="62"/>
    </row>
    <row r="309">
      <c r="C309" s="62"/>
      <c r="F309" s="62"/>
      <c r="I309" s="62"/>
      <c r="L309" s="62"/>
    </row>
    <row r="310">
      <c r="C310" s="62"/>
      <c r="F310" s="62"/>
      <c r="I310" s="62"/>
      <c r="L310" s="62"/>
    </row>
    <row r="311">
      <c r="C311" s="62"/>
      <c r="F311" s="62"/>
      <c r="I311" s="62"/>
      <c r="L311" s="62"/>
    </row>
    <row r="312">
      <c r="C312" s="62"/>
      <c r="F312" s="62"/>
      <c r="I312" s="62"/>
      <c r="L312" s="62"/>
    </row>
    <row r="313">
      <c r="C313" s="62"/>
      <c r="F313" s="62"/>
      <c r="I313" s="62"/>
      <c r="L313" s="62"/>
    </row>
    <row r="314">
      <c r="C314" s="62"/>
      <c r="F314" s="62"/>
      <c r="I314" s="62"/>
      <c r="L314" s="62"/>
    </row>
    <row r="315">
      <c r="C315" s="62"/>
      <c r="F315" s="62"/>
      <c r="I315" s="62"/>
      <c r="L315" s="62"/>
    </row>
    <row r="316">
      <c r="C316" s="62"/>
      <c r="F316" s="62"/>
      <c r="I316" s="62"/>
      <c r="L316" s="62"/>
    </row>
    <row r="317">
      <c r="C317" s="62"/>
      <c r="F317" s="62"/>
      <c r="I317" s="62"/>
      <c r="L317" s="62"/>
    </row>
    <row r="318">
      <c r="C318" s="62"/>
      <c r="F318" s="62"/>
      <c r="I318" s="62"/>
      <c r="L318" s="62"/>
    </row>
    <row r="319">
      <c r="C319" s="62"/>
      <c r="F319" s="62"/>
      <c r="I319" s="62"/>
      <c r="L319" s="62"/>
    </row>
    <row r="320">
      <c r="C320" s="62"/>
      <c r="F320" s="62"/>
      <c r="I320" s="62"/>
      <c r="L320" s="62"/>
    </row>
    <row r="321">
      <c r="C321" s="62"/>
      <c r="F321" s="62"/>
      <c r="I321" s="62"/>
      <c r="L321" s="62"/>
    </row>
    <row r="322">
      <c r="C322" s="62"/>
      <c r="F322" s="62"/>
      <c r="I322" s="62"/>
      <c r="L322" s="62"/>
    </row>
    <row r="323">
      <c r="C323" s="62"/>
      <c r="F323" s="62"/>
      <c r="I323" s="62"/>
      <c r="L323" s="62"/>
    </row>
    <row r="324">
      <c r="C324" s="62"/>
      <c r="F324" s="62"/>
      <c r="I324" s="62"/>
      <c r="L324" s="62"/>
    </row>
    <row r="325">
      <c r="C325" s="62"/>
      <c r="F325" s="62"/>
      <c r="I325" s="62"/>
      <c r="L325" s="62"/>
    </row>
    <row r="326">
      <c r="C326" s="62"/>
      <c r="F326" s="62"/>
      <c r="I326" s="62"/>
      <c r="L326" s="62"/>
    </row>
    <row r="327">
      <c r="C327" s="62"/>
      <c r="F327" s="62"/>
      <c r="I327" s="62"/>
      <c r="L327" s="62"/>
    </row>
    <row r="328">
      <c r="C328" s="62"/>
      <c r="F328" s="62"/>
      <c r="I328" s="62"/>
      <c r="L328" s="62"/>
    </row>
    <row r="329">
      <c r="C329" s="62"/>
      <c r="F329" s="62"/>
      <c r="I329" s="62"/>
      <c r="L329" s="62"/>
    </row>
    <row r="330">
      <c r="C330" s="62"/>
      <c r="F330" s="62"/>
      <c r="I330" s="62"/>
      <c r="L330" s="62"/>
    </row>
    <row r="331">
      <c r="C331" s="62"/>
      <c r="F331" s="62"/>
      <c r="I331" s="62"/>
      <c r="L331" s="62"/>
    </row>
    <row r="332">
      <c r="C332" s="62"/>
      <c r="F332" s="62"/>
      <c r="I332" s="62"/>
      <c r="L332" s="62"/>
    </row>
    <row r="333">
      <c r="C333" s="62"/>
      <c r="F333" s="62"/>
      <c r="I333" s="62"/>
      <c r="L333" s="62"/>
    </row>
    <row r="334">
      <c r="C334" s="62"/>
      <c r="F334" s="62"/>
      <c r="I334" s="62"/>
      <c r="L334" s="62"/>
    </row>
    <row r="335">
      <c r="C335" s="62"/>
      <c r="F335" s="62"/>
      <c r="I335" s="62"/>
      <c r="L335" s="62"/>
    </row>
    <row r="336">
      <c r="C336" s="62"/>
      <c r="F336" s="62"/>
      <c r="I336" s="62"/>
      <c r="L336" s="62"/>
    </row>
    <row r="337">
      <c r="C337" s="62"/>
      <c r="F337" s="62"/>
      <c r="I337" s="62"/>
      <c r="L337" s="62"/>
    </row>
    <row r="338">
      <c r="C338" s="62"/>
      <c r="F338" s="62"/>
      <c r="I338" s="62"/>
      <c r="L338" s="62"/>
    </row>
    <row r="339">
      <c r="C339" s="62"/>
      <c r="F339" s="62"/>
      <c r="I339" s="62"/>
      <c r="L339" s="62"/>
    </row>
    <row r="340">
      <c r="C340" s="62"/>
      <c r="F340" s="62"/>
      <c r="I340" s="62"/>
      <c r="L340" s="62"/>
    </row>
    <row r="341">
      <c r="C341" s="62"/>
      <c r="F341" s="62"/>
      <c r="I341" s="62"/>
      <c r="L341" s="62"/>
    </row>
    <row r="342">
      <c r="C342" s="62"/>
      <c r="F342" s="62"/>
      <c r="I342" s="62"/>
      <c r="L342" s="62"/>
    </row>
    <row r="343">
      <c r="C343" s="62"/>
      <c r="F343" s="62"/>
      <c r="I343" s="62"/>
      <c r="L343" s="62"/>
    </row>
    <row r="344">
      <c r="C344" s="62"/>
      <c r="F344" s="62"/>
      <c r="I344" s="62"/>
      <c r="L344" s="62"/>
    </row>
    <row r="345">
      <c r="C345" s="62"/>
      <c r="F345" s="62"/>
      <c r="I345" s="62"/>
      <c r="L345" s="62"/>
    </row>
    <row r="346">
      <c r="C346" s="62"/>
      <c r="F346" s="62"/>
      <c r="I346" s="62"/>
      <c r="L346" s="62"/>
    </row>
    <row r="347">
      <c r="C347" s="62"/>
      <c r="F347" s="62"/>
      <c r="I347" s="62"/>
      <c r="L347" s="62"/>
    </row>
    <row r="348">
      <c r="C348" s="62"/>
      <c r="F348" s="62"/>
      <c r="I348" s="62"/>
      <c r="L348" s="62"/>
    </row>
    <row r="349">
      <c r="C349" s="62"/>
      <c r="F349" s="62"/>
      <c r="I349" s="62"/>
      <c r="L349" s="62"/>
    </row>
    <row r="350">
      <c r="C350" s="62"/>
      <c r="F350" s="62"/>
      <c r="I350" s="62"/>
      <c r="L350" s="62"/>
    </row>
    <row r="351">
      <c r="C351" s="62"/>
      <c r="F351" s="62"/>
      <c r="I351" s="62"/>
      <c r="L351" s="62"/>
    </row>
    <row r="352">
      <c r="C352" s="62"/>
      <c r="F352" s="62"/>
      <c r="I352" s="62"/>
      <c r="L352" s="62"/>
    </row>
    <row r="353">
      <c r="C353" s="62"/>
      <c r="F353" s="62"/>
      <c r="I353" s="62"/>
      <c r="L353" s="62"/>
    </row>
    <row r="354">
      <c r="C354" s="62"/>
      <c r="F354" s="62"/>
      <c r="I354" s="62"/>
      <c r="L354" s="62"/>
    </row>
    <row r="355">
      <c r="C355" s="62"/>
      <c r="F355" s="62"/>
      <c r="I355" s="62"/>
      <c r="L355" s="62"/>
    </row>
    <row r="356">
      <c r="C356" s="62"/>
      <c r="F356" s="62"/>
      <c r="I356" s="62"/>
      <c r="L356" s="62"/>
    </row>
    <row r="357">
      <c r="C357" s="62"/>
      <c r="F357" s="62"/>
      <c r="I357" s="62"/>
      <c r="L357" s="62"/>
    </row>
    <row r="358">
      <c r="C358" s="62"/>
      <c r="F358" s="62"/>
      <c r="I358" s="62"/>
      <c r="L358" s="62"/>
    </row>
    <row r="359">
      <c r="C359" s="62"/>
      <c r="F359" s="62"/>
      <c r="I359" s="62"/>
      <c r="L359" s="62"/>
    </row>
    <row r="360">
      <c r="C360" s="62"/>
      <c r="F360" s="62"/>
      <c r="I360" s="62"/>
      <c r="L360" s="62"/>
    </row>
    <row r="361">
      <c r="C361" s="62"/>
      <c r="F361" s="62"/>
      <c r="I361" s="62"/>
      <c r="L361" s="62"/>
    </row>
    <row r="362">
      <c r="C362" s="62"/>
      <c r="F362" s="62"/>
      <c r="I362" s="62"/>
      <c r="L362" s="62"/>
    </row>
    <row r="363">
      <c r="C363" s="62"/>
      <c r="F363" s="62"/>
      <c r="I363" s="62"/>
      <c r="L363" s="62"/>
    </row>
    <row r="364">
      <c r="C364" s="62"/>
      <c r="F364" s="62"/>
      <c r="I364" s="62"/>
      <c r="L364" s="62"/>
    </row>
    <row r="365">
      <c r="C365" s="62"/>
      <c r="F365" s="62"/>
      <c r="I365" s="62"/>
      <c r="L365" s="62"/>
    </row>
    <row r="366">
      <c r="C366" s="62"/>
      <c r="F366" s="62"/>
      <c r="I366" s="62"/>
      <c r="L366" s="62"/>
    </row>
    <row r="367">
      <c r="C367" s="62"/>
      <c r="F367" s="62"/>
      <c r="I367" s="62"/>
      <c r="L367" s="62"/>
    </row>
    <row r="368">
      <c r="C368" s="62"/>
      <c r="F368" s="62"/>
      <c r="I368" s="62"/>
      <c r="L368" s="62"/>
    </row>
    <row r="369">
      <c r="C369" s="62"/>
      <c r="F369" s="62"/>
      <c r="I369" s="62"/>
      <c r="L369" s="62"/>
    </row>
    <row r="370">
      <c r="C370" s="62"/>
      <c r="F370" s="62"/>
      <c r="I370" s="62"/>
      <c r="L370" s="62"/>
    </row>
    <row r="371">
      <c r="C371" s="62"/>
      <c r="F371" s="62"/>
      <c r="I371" s="62"/>
      <c r="L371" s="62"/>
    </row>
    <row r="372">
      <c r="C372" s="62"/>
      <c r="F372" s="62"/>
      <c r="I372" s="62"/>
      <c r="L372" s="62"/>
    </row>
    <row r="373">
      <c r="C373" s="62"/>
      <c r="F373" s="62"/>
      <c r="I373" s="62"/>
      <c r="L373" s="62"/>
    </row>
    <row r="374">
      <c r="C374" s="62"/>
      <c r="F374" s="62"/>
      <c r="I374" s="62"/>
      <c r="L374" s="62"/>
    </row>
    <row r="375">
      <c r="C375" s="62"/>
      <c r="F375" s="62"/>
      <c r="I375" s="62"/>
      <c r="L375" s="62"/>
    </row>
    <row r="376">
      <c r="C376" s="62"/>
      <c r="F376" s="62"/>
      <c r="I376" s="62"/>
      <c r="L376" s="62"/>
    </row>
    <row r="377">
      <c r="C377" s="62"/>
      <c r="F377" s="62"/>
      <c r="I377" s="62"/>
      <c r="L377" s="62"/>
    </row>
    <row r="378">
      <c r="C378" s="62"/>
      <c r="F378" s="62"/>
      <c r="I378" s="62"/>
      <c r="L378" s="62"/>
    </row>
    <row r="379">
      <c r="C379" s="62"/>
      <c r="F379" s="62"/>
      <c r="I379" s="62"/>
      <c r="L379" s="62"/>
    </row>
    <row r="380">
      <c r="C380" s="62"/>
      <c r="F380" s="62"/>
      <c r="I380" s="62"/>
      <c r="L380" s="62"/>
    </row>
    <row r="381">
      <c r="C381" s="62"/>
      <c r="F381" s="62"/>
      <c r="I381" s="62"/>
      <c r="L381" s="62"/>
    </row>
    <row r="382">
      <c r="C382" s="62"/>
      <c r="F382" s="62"/>
      <c r="I382" s="62"/>
      <c r="L382" s="62"/>
    </row>
    <row r="383">
      <c r="C383" s="62"/>
      <c r="F383" s="62"/>
      <c r="I383" s="62"/>
      <c r="L383" s="62"/>
    </row>
    <row r="384">
      <c r="C384" s="62"/>
      <c r="F384" s="62"/>
      <c r="I384" s="62"/>
      <c r="L384" s="62"/>
    </row>
    <row r="385">
      <c r="C385" s="62"/>
      <c r="F385" s="62"/>
      <c r="I385" s="62"/>
      <c r="L385" s="62"/>
    </row>
    <row r="386">
      <c r="C386" s="62"/>
      <c r="F386" s="62"/>
      <c r="I386" s="62"/>
      <c r="L386" s="62"/>
    </row>
    <row r="387">
      <c r="C387" s="62"/>
      <c r="F387" s="62"/>
      <c r="I387" s="62"/>
      <c r="L387" s="62"/>
    </row>
    <row r="388">
      <c r="C388" s="62"/>
      <c r="F388" s="62"/>
      <c r="I388" s="62"/>
      <c r="L388" s="62"/>
    </row>
    <row r="389">
      <c r="C389" s="62"/>
      <c r="F389" s="62"/>
      <c r="I389" s="62"/>
      <c r="L389" s="62"/>
    </row>
    <row r="390">
      <c r="C390" s="62"/>
      <c r="F390" s="62"/>
      <c r="I390" s="62"/>
      <c r="L390" s="62"/>
    </row>
    <row r="391">
      <c r="C391" s="62"/>
      <c r="F391" s="62"/>
      <c r="I391" s="62"/>
      <c r="L391" s="62"/>
    </row>
    <row r="392">
      <c r="C392" s="62"/>
      <c r="F392" s="62"/>
      <c r="I392" s="62"/>
      <c r="L392" s="62"/>
    </row>
    <row r="393">
      <c r="C393" s="62"/>
      <c r="F393" s="62"/>
      <c r="I393" s="62"/>
      <c r="L393" s="62"/>
    </row>
    <row r="394">
      <c r="C394" s="62"/>
      <c r="F394" s="62"/>
      <c r="I394" s="62"/>
      <c r="L394" s="62"/>
    </row>
    <row r="395">
      <c r="C395" s="62"/>
      <c r="F395" s="62"/>
      <c r="I395" s="62"/>
      <c r="L395" s="62"/>
    </row>
    <row r="396">
      <c r="C396" s="62"/>
      <c r="F396" s="62"/>
      <c r="I396" s="62"/>
      <c r="L396" s="62"/>
    </row>
    <row r="397">
      <c r="C397" s="62"/>
      <c r="F397" s="62"/>
      <c r="I397" s="62"/>
      <c r="L397" s="62"/>
    </row>
    <row r="398">
      <c r="C398" s="62"/>
      <c r="F398" s="62"/>
      <c r="I398" s="62"/>
      <c r="L398" s="62"/>
    </row>
    <row r="399">
      <c r="C399" s="62"/>
      <c r="F399" s="62"/>
      <c r="I399" s="62"/>
      <c r="L399" s="62"/>
    </row>
    <row r="400">
      <c r="C400" s="62"/>
      <c r="F400" s="62"/>
      <c r="I400" s="62"/>
      <c r="L400" s="62"/>
    </row>
    <row r="401">
      <c r="C401" s="62"/>
      <c r="F401" s="62"/>
      <c r="I401" s="62"/>
      <c r="L401" s="62"/>
    </row>
    <row r="402">
      <c r="C402" s="62"/>
      <c r="F402" s="62"/>
      <c r="I402" s="62"/>
      <c r="L402" s="62"/>
    </row>
    <row r="403">
      <c r="C403" s="62"/>
      <c r="F403" s="62"/>
      <c r="I403" s="62"/>
      <c r="L403" s="62"/>
    </row>
    <row r="404">
      <c r="C404" s="62"/>
      <c r="F404" s="62"/>
      <c r="I404" s="62"/>
      <c r="L404" s="62"/>
    </row>
    <row r="405">
      <c r="C405" s="62"/>
      <c r="F405" s="62"/>
      <c r="I405" s="62"/>
      <c r="L405" s="62"/>
    </row>
    <row r="406">
      <c r="C406" s="62"/>
      <c r="F406" s="62"/>
      <c r="I406" s="62"/>
      <c r="L406" s="62"/>
    </row>
    <row r="407">
      <c r="C407" s="62"/>
      <c r="F407" s="62"/>
      <c r="I407" s="62"/>
      <c r="L407" s="62"/>
    </row>
    <row r="408">
      <c r="C408" s="62"/>
      <c r="F408" s="62"/>
      <c r="I408" s="62"/>
      <c r="L408" s="62"/>
    </row>
    <row r="409">
      <c r="C409" s="62"/>
      <c r="F409" s="62"/>
      <c r="I409" s="62"/>
      <c r="L409" s="62"/>
    </row>
    <row r="410">
      <c r="C410" s="62"/>
      <c r="F410" s="62"/>
      <c r="I410" s="62"/>
      <c r="L410" s="62"/>
    </row>
    <row r="411">
      <c r="C411" s="62"/>
      <c r="F411" s="62"/>
      <c r="I411" s="62"/>
      <c r="L411" s="62"/>
    </row>
    <row r="412">
      <c r="C412" s="62"/>
      <c r="F412" s="62"/>
      <c r="I412" s="62"/>
      <c r="L412" s="62"/>
    </row>
    <row r="413">
      <c r="C413" s="62"/>
      <c r="F413" s="62"/>
      <c r="I413" s="62"/>
      <c r="L413" s="62"/>
    </row>
    <row r="414">
      <c r="C414" s="62"/>
      <c r="F414" s="62"/>
      <c r="I414" s="62"/>
      <c r="L414" s="62"/>
    </row>
    <row r="415">
      <c r="C415" s="62"/>
      <c r="F415" s="62"/>
      <c r="I415" s="62"/>
      <c r="L415" s="62"/>
    </row>
    <row r="416">
      <c r="C416" s="62"/>
      <c r="F416" s="62"/>
      <c r="I416" s="62"/>
      <c r="L416" s="62"/>
    </row>
    <row r="417">
      <c r="C417" s="62"/>
      <c r="F417" s="62"/>
      <c r="I417" s="62"/>
      <c r="L417" s="62"/>
    </row>
    <row r="418">
      <c r="C418" s="62"/>
      <c r="F418" s="62"/>
      <c r="I418" s="62"/>
      <c r="L418" s="62"/>
    </row>
    <row r="419">
      <c r="C419" s="62"/>
      <c r="F419" s="62"/>
      <c r="I419" s="62"/>
      <c r="L419" s="62"/>
    </row>
    <row r="420">
      <c r="C420" s="62"/>
      <c r="F420" s="62"/>
      <c r="I420" s="62"/>
      <c r="L420" s="62"/>
    </row>
    <row r="421">
      <c r="C421" s="62"/>
      <c r="F421" s="62"/>
      <c r="I421" s="62"/>
      <c r="L421" s="62"/>
    </row>
    <row r="422">
      <c r="C422" s="62"/>
      <c r="F422" s="62"/>
      <c r="I422" s="62"/>
      <c r="L422" s="62"/>
    </row>
    <row r="423">
      <c r="C423" s="62"/>
      <c r="F423" s="62"/>
      <c r="I423" s="62"/>
      <c r="L423" s="62"/>
    </row>
    <row r="424">
      <c r="C424" s="62"/>
      <c r="F424" s="62"/>
      <c r="I424" s="62"/>
      <c r="L424" s="62"/>
    </row>
    <row r="425">
      <c r="C425" s="62"/>
      <c r="F425" s="62"/>
      <c r="I425" s="62"/>
      <c r="L425" s="62"/>
    </row>
    <row r="426">
      <c r="C426" s="62"/>
      <c r="F426" s="62"/>
      <c r="I426" s="62"/>
      <c r="L426" s="62"/>
    </row>
    <row r="427">
      <c r="C427" s="62"/>
      <c r="F427" s="62"/>
      <c r="I427" s="62"/>
      <c r="L427" s="62"/>
    </row>
    <row r="428">
      <c r="C428" s="62"/>
      <c r="F428" s="62"/>
      <c r="I428" s="62"/>
      <c r="L428" s="62"/>
    </row>
    <row r="429">
      <c r="C429" s="62"/>
      <c r="F429" s="62"/>
      <c r="I429" s="62"/>
      <c r="L429" s="62"/>
    </row>
    <row r="430">
      <c r="C430" s="62"/>
      <c r="F430" s="62"/>
      <c r="I430" s="62"/>
      <c r="L430" s="62"/>
    </row>
    <row r="431">
      <c r="C431" s="62"/>
      <c r="F431" s="62"/>
      <c r="I431" s="62"/>
      <c r="L431" s="62"/>
    </row>
    <row r="432">
      <c r="C432" s="62"/>
      <c r="F432" s="62"/>
      <c r="I432" s="62"/>
      <c r="L432" s="62"/>
    </row>
    <row r="433">
      <c r="C433" s="62"/>
      <c r="F433" s="62"/>
      <c r="I433" s="62"/>
      <c r="L433" s="62"/>
    </row>
    <row r="434">
      <c r="C434" s="62"/>
      <c r="F434" s="62"/>
      <c r="I434" s="62"/>
      <c r="L434" s="62"/>
    </row>
    <row r="435">
      <c r="C435" s="62"/>
      <c r="F435" s="62"/>
      <c r="I435" s="62"/>
      <c r="L435" s="62"/>
    </row>
    <row r="436">
      <c r="C436" s="62"/>
      <c r="F436" s="62"/>
      <c r="I436" s="62"/>
      <c r="L436" s="62"/>
    </row>
    <row r="437">
      <c r="C437" s="62"/>
      <c r="F437" s="62"/>
      <c r="I437" s="62"/>
      <c r="L437" s="62"/>
    </row>
    <row r="438">
      <c r="C438" s="62"/>
      <c r="F438" s="62"/>
      <c r="I438" s="62"/>
      <c r="L438" s="62"/>
    </row>
    <row r="439">
      <c r="C439" s="62"/>
      <c r="F439" s="62"/>
      <c r="I439" s="62"/>
      <c r="L439" s="62"/>
    </row>
    <row r="440">
      <c r="C440" s="62"/>
      <c r="F440" s="62"/>
      <c r="I440" s="62"/>
      <c r="L440" s="62"/>
    </row>
    <row r="441">
      <c r="C441" s="62"/>
      <c r="F441" s="62"/>
      <c r="I441" s="62"/>
      <c r="L441" s="62"/>
    </row>
    <row r="442">
      <c r="C442" s="62"/>
      <c r="F442" s="62"/>
      <c r="I442" s="62"/>
      <c r="L442" s="62"/>
    </row>
    <row r="443">
      <c r="C443" s="62"/>
      <c r="F443" s="62"/>
      <c r="I443" s="62"/>
      <c r="L443" s="62"/>
    </row>
    <row r="444">
      <c r="C444" s="62"/>
      <c r="F444" s="62"/>
      <c r="I444" s="62"/>
      <c r="L444" s="62"/>
    </row>
    <row r="445">
      <c r="C445" s="62"/>
      <c r="F445" s="62"/>
      <c r="I445" s="62"/>
      <c r="L445" s="62"/>
    </row>
    <row r="446">
      <c r="C446" s="62"/>
      <c r="F446" s="62"/>
      <c r="I446" s="62"/>
      <c r="L446" s="62"/>
    </row>
    <row r="447">
      <c r="C447" s="62"/>
      <c r="F447" s="62"/>
      <c r="I447" s="62"/>
      <c r="L447" s="62"/>
    </row>
    <row r="448">
      <c r="C448" s="62"/>
      <c r="F448" s="62"/>
      <c r="I448" s="62"/>
      <c r="L448" s="62"/>
    </row>
    <row r="449">
      <c r="C449" s="62"/>
      <c r="F449" s="62"/>
      <c r="I449" s="62"/>
      <c r="L449" s="62"/>
    </row>
    <row r="450">
      <c r="C450" s="62"/>
      <c r="F450" s="62"/>
      <c r="I450" s="62"/>
      <c r="L450" s="62"/>
    </row>
    <row r="451">
      <c r="C451" s="62"/>
      <c r="F451" s="62"/>
      <c r="I451" s="62"/>
      <c r="L451" s="62"/>
    </row>
    <row r="452">
      <c r="C452" s="62"/>
      <c r="F452" s="62"/>
      <c r="I452" s="62"/>
      <c r="L452" s="62"/>
    </row>
    <row r="453">
      <c r="C453" s="62"/>
      <c r="F453" s="62"/>
      <c r="I453" s="62"/>
      <c r="L453" s="62"/>
    </row>
    <row r="454">
      <c r="C454" s="62"/>
      <c r="F454" s="62"/>
      <c r="I454" s="62"/>
      <c r="L454" s="62"/>
    </row>
    <row r="455">
      <c r="C455" s="62"/>
      <c r="F455" s="62"/>
      <c r="I455" s="62"/>
      <c r="L455" s="62"/>
    </row>
    <row r="456">
      <c r="C456" s="62"/>
      <c r="F456" s="62"/>
      <c r="I456" s="62"/>
      <c r="L456" s="62"/>
    </row>
    <row r="457">
      <c r="C457" s="62"/>
      <c r="F457" s="62"/>
      <c r="I457" s="62"/>
      <c r="L457" s="62"/>
    </row>
    <row r="458">
      <c r="C458" s="62"/>
      <c r="F458" s="62"/>
      <c r="I458" s="62"/>
      <c r="L458" s="62"/>
    </row>
    <row r="459">
      <c r="C459" s="62"/>
      <c r="F459" s="62"/>
      <c r="I459" s="62"/>
      <c r="L459" s="62"/>
    </row>
    <row r="460">
      <c r="C460" s="62"/>
      <c r="F460" s="62"/>
      <c r="I460" s="62"/>
      <c r="L460" s="62"/>
    </row>
    <row r="461">
      <c r="C461" s="62"/>
      <c r="F461" s="62"/>
      <c r="I461" s="62"/>
      <c r="L461" s="62"/>
    </row>
    <row r="462">
      <c r="C462" s="62"/>
      <c r="F462" s="62"/>
      <c r="I462" s="62"/>
      <c r="L462" s="62"/>
    </row>
    <row r="463">
      <c r="C463" s="62"/>
      <c r="F463" s="62"/>
      <c r="I463" s="62"/>
      <c r="L463" s="62"/>
    </row>
    <row r="464">
      <c r="C464" s="62"/>
      <c r="F464" s="62"/>
      <c r="I464" s="62"/>
      <c r="L464" s="62"/>
    </row>
    <row r="465">
      <c r="C465" s="62"/>
      <c r="F465" s="62"/>
      <c r="I465" s="62"/>
      <c r="L465" s="62"/>
    </row>
    <row r="466">
      <c r="C466" s="62"/>
      <c r="F466" s="62"/>
      <c r="I466" s="62"/>
      <c r="L466" s="62"/>
    </row>
    <row r="467">
      <c r="C467" s="62"/>
      <c r="F467" s="62"/>
      <c r="I467" s="62"/>
      <c r="L467" s="62"/>
    </row>
    <row r="468">
      <c r="C468" s="62"/>
      <c r="F468" s="62"/>
      <c r="I468" s="62"/>
      <c r="L468" s="62"/>
    </row>
    <row r="469">
      <c r="C469" s="62"/>
      <c r="F469" s="62"/>
      <c r="I469" s="62"/>
      <c r="L469" s="62"/>
    </row>
    <row r="470">
      <c r="C470" s="62"/>
      <c r="F470" s="62"/>
      <c r="I470" s="62"/>
      <c r="L470" s="62"/>
    </row>
    <row r="471">
      <c r="C471" s="62"/>
      <c r="F471" s="62"/>
      <c r="I471" s="62"/>
      <c r="L471" s="62"/>
    </row>
    <row r="472">
      <c r="C472" s="62"/>
      <c r="F472" s="62"/>
      <c r="I472" s="62"/>
      <c r="L472" s="62"/>
    </row>
    <row r="473">
      <c r="C473" s="62"/>
      <c r="F473" s="62"/>
      <c r="I473" s="62"/>
      <c r="L473" s="62"/>
    </row>
    <row r="474">
      <c r="C474" s="62"/>
      <c r="F474" s="62"/>
      <c r="I474" s="62"/>
      <c r="L474" s="62"/>
    </row>
    <row r="475">
      <c r="C475" s="62"/>
      <c r="F475" s="62"/>
      <c r="I475" s="62"/>
      <c r="L475" s="62"/>
    </row>
    <row r="476">
      <c r="C476" s="62"/>
      <c r="F476" s="62"/>
      <c r="I476" s="62"/>
      <c r="L476" s="62"/>
    </row>
    <row r="477">
      <c r="C477" s="62"/>
      <c r="F477" s="62"/>
      <c r="I477" s="62"/>
      <c r="L477" s="62"/>
    </row>
    <row r="478">
      <c r="C478" s="62"/>
      <c r="F478" s="62"/>
      <c r="I478" s="62"/>
      <c r="L478" s="62"/>
    </row>
    <row r="479">
      <c r="C479" s="62"/>
      <c r="F479" s="62"/>
      <c r="I479" s="62"/>
      <c r="L479" s="62"/>
    </row>
    <row r="480">
      <c r="C480" s="62"/>
      <c r="F480" s="62"/>
      <c r="I480" s="62"/>
      <c r="L480" s="62"/>
    </row>
    <row r="481">
      <c r="C481" s="62"/>
      <c r="F481" s="62"/>
      <c r="I481" s="62"/>
      <c r="L481" s="62"/>
    </row>
    <row r="482">
      <c r="C482" s="62"/>
      <c r="F482" s="62"/>
      <c r="I482" s="62"/>
      <c r="L482" s="62"/>
    </row>
    <row r="483">
      <c r="C483" s="62"/>
      <c r="F483" s="62"/>
      <c r="I483" s="62"/>
      <c r="L483" s="62"/>
    </row>
    <row r="484">
      <c r="C484" s="62"/>
      <c r="F484" s="62"/>
      <c r="I484" s="62"/>
      <c r="L484" s="62"/>
    </row>
    <row r="485">
      <c r="C485" s="62"/>
      <c r="F485" s="62"/>
      <c r="I485" s="62"/>
      <c r="L485" s="62"/>
    </row>
    <row r="486">
      <c r="C486" s="62"/>
      <c r="F486" s="62"/>
      <c r="I486" s="62"/>
      <c r="L486" s="62"/>
    </row>
    <row r="487">
      <c r="C487" s="62"/>
      <c r="F487" s="62"/>
      <c r="I487" s="62"/>
      <c r="L487" s="62"/>
    </row>
    <row r="488">
      <c r="C488" s="62"/>
      <c r="F488" s="62"/>
      <c r="I488" s="62"/>
      <c r="L488" s="62"/>
    </row>
    <row r="489">
      <c r="C489" s="62"/>
      <c r="F489" s="62"/>
      <c r="I489" s="62"/>
      <c r="L489" s="62"/>
    </row>
    <row r="490">
      <c r="C490" s="62"/>
      <c r="F490" s="62"/>
      <c r="I490" s="62"/>
      <c r="L490" s="62"/>
    </row>
    <row r="491">
      <c r="C491" s="62"/>
      <c r="F491" s="62"/>
      <c r="I491" s="62"/>
      <c r="L491" s="62"/>
    </row>
    <row r="492">
      <c r="C492" s="62"/>
      <c r="F492" s="62"/>
      <c r="I492" s="62"/>
      <c r="L492" s="62"/>
    </row>
    <row r="493">
      <c r="C493" s="62"/>
      <c r="F493" s="62"/>
      <c r="I493" s="62"/>
      <c r="L493" s="62"/>
    </row>
    <row r="494">
      <c r="C494" s="62"/>
      <c r="F494" s="62"/>
      <c r="I494" s="62"/>
      <c r="L494" s="62"/>
    </row>
    <row r="495">
      <c r="C495" s="62"/>
      <c r="F495" s="62"/>
      <c r="I495" s="62"/>
      <c r="L495" s="62"/>
    </row>
    <row r="496">
      <c r="C496" s="62"/>
      <c r="F496" s="62"/>
      <c r="I496" s="62"/>
      <c r="L496" s="62"/>
    </row>
    <row r="497">
      <c r="C497" s="62"/>
      <c r="F497" s="62"/>
      <c r="I497" s="62"/>
      <c r="L497" s="62"/>
    </row>
    <row r="498">
      <c r="C498" s="62"/>
      <c r="F498" s="62"/>
      <c r="I498" s="62"/>
      <c r="L498" s="62"/>
    </row>
    <row r="499">
      <c r="C499" s="62"/>
      <c r="F499" s="62"/>
      <c r="I499" s="62"/>
      <c r="L499" s="62"/>
    </row>
    <row r="500">
      <c r="C500" s="62"/>
      <c r="F500" s="62"/>
      <c r="I500" s="62"/>
      <c r="L500" s="62"/>
    </row>
    <row r="501">
      <c r="C501" s="62"/>
      <c r="F501" s="62"/>
      <c r="I501" s="62"/>
      <c r="L501" s="62"/>
    </row>
    <row r="502">
      <c r="C502" s="62"/>
      <c r="F502" s="62"/>
      <c r="I502" s="62"/>
      <c r="L502" s="62"/>
    </row>
    <row r="503">
      <c r="C503" s="62"/>
      <c r="F503" s="62"/>
      <c r="I503" s="62"/>
      <c r="L503" s="62"/>
    </row>
    <row r="504">
      <c r="C504" s="62"/>
      <c r="F504" s="62"/>
      <c r="I504" s="62"/>
      <c r="L504" s="62"/>
    </row>
    <row r="505">
      <c r="C505" s="62"/>
      <c r="F505" s="62"/>
      <c r="I505" s="62"/>
      <c r="L505" s="62"/>
    </row>
    <row r="506">
      <c r="C506" s="62"/>
      <c r="F506" s="62"/>
      <c r="I506" s="62"/>
      <c r="L506" s="62"/>
    </row>
    <row r="507">
      <c r="C507" s="62"/>
      <c r="F507" s="62"/>
      <c r="I507" s="62"/>
      <c r="L507" s="62"/>
    </row>
    <row r="508">
      <c r="C508" s="62"/>
      <c r="F508" s="62"/>
      <c r="I508" s="62"/>
      <c r="L508" s="62"/>
    </row>
    <row r="509">
      <c r="C509" s="62"/>
      <c r="F509" s="62"/>
      <c r="I509" s="62"/>
      <c r="L509" s="62"/>
    </row>
    <row r="510">
      <c r="C510" s="62"/>
      <c r="F510" s="62"/>
      <c r="I510" s="62"/>
      <c r="L510" s="62"/>
    </row>
    <row r="511">
      <c r="C511" s="62"/>
      <c r="F511" s="62"/>
      <c r="I511" s="62"/>
      <c r="L511" s="62"/>
    </row>
    <row r="512">
      <c r="C512" s="62"/>
      <c r="F512" s="62"/>
      <c r="I512" s="62"/>
      <c r="L512" s="62"/>
    </row>
    <row r="513">
      <c r="C513" s="62"/>
      <c r="F513" s="62"/>
      <c r="I513" s="62"/>
      <c r="L513" s="62"/>
    </row>
    <row r="514">
      <c r="C514" s="62"/>
      <c r="F514" s="62"/>
      <c r="I514" s="62"/>
      <c r="L514" s="62"/>
    </row>
    <row r="515">
      <c r="C515" s="62"/>
      <c r="F515" s="62"/>
      <c r="I515" s="62"/>
      <c r="L515" s="62"/>
    </row>
    <row r="516">
      <c r="C516" s="62"/>
      <c r="F516" s="62"/>
      <c r="I516" s="62"/>
      <c r="L516" s="62"/>
    </row>
    <row r="517">
      <c r="C517" s="62"/>
      <c r="F517" s="62"/>
      <c r="I517" s="62"/>
      <c r="L517" s="62"/>
    </row>
    <row r="518">
      <c r="C518" s="62"/>
      <c r="F518" s="62"/>
      <c r="I518" s="62"/>
      <c r="L518" s="62"/>
    </row>
    <row r="519">
      <c r="C519" s="62"/>
      <c r="F519" s="62"/>
      <c r="I519" s="62"/>
      <c r="L519" s="62"/>
    </row>
    <row r="520">
      <c r="C520" s="62"/>
      <c r="F520" s="62"/>
      <c r="I520" s="62"/>
      <c r="L520" s="62"/>
    </row>
    <row r="521">
      <c r="C521" s="62"/>
      <c r="F521" s="62"/>
      <c r="I521" s="62"/>
      <c r="L521" s="62"/>
    </row>
    <row r="522">
      <c r="C522" s="62"/>
      <c r="F522" s="62"/>
      <c r="I522" s="62"/>
      <c r="L522" s="62"/>
    </row>
    <row r="523">
      <c r="C523" s="62"/>
      <c r="F523" s="62"/>
      <c r="I523" s="62"/>
      <c r="L523" s="62"/>
    </row>
    <row r="524">
      <c r="C524" s="62"/>
      <c r="F524" s="62"/>
      <c r="I524" s="62"/>
      <c r="L524" s="62"/>
    </row>
    <row r="525">
      <c r="C525" s="62"/>
      <c r="F525" s="62"/>
      <c r="I525" s="62"/>
      <c r="L525" s="62"/>
    </row>
    <row r="526">
      <c r="C526" s="62"/>
      <c r="F526" s="62"/>
      <c r="I526" s="62"/>
      <c r="L526" s="62"/>
    </row>
    <row r="527">
      <c r="C527" s="62"/>
      <c r="F527" s="62"/>
      <c r="I527" s="62"/>
      <c r="L527" s="62"/>
    </row>
    <row r="528">
      <c r="C528" s="62"/>
      <c r="F528" s="62"/>
      <c r="I528" s="62"/>
      <c r="L528" s="62"/>
    </row>
    <row r="529">
      <c r="C529" s="62"/>
      <c r="F529" s="62"/>
      <c r="I529" s="62"/>
      <c r="L529" s="62"/>
    </row>
    <row r="530">
      <c r="C530" s="62"/>
      <c r="F530" s="62"/>
      <c r="I530" s="62"/>
      <c r="L530" s="62"/>
    </row>
    <row r="531">
      <c r="C531" s="62"/>
      <c r="F531" s="62"/>
      <c r="I531" s="62"/>
      <c r="L531" s="62"/>
    </row>
    <row r="532">
      <c r="C532" s="62"/>
      <c r="F532" s="62"/>
      <c r="I532" s="62"/>
      <c r="L532" s="62"/>
    </row>
    <row r="533">
      <c r="C533" s="62"/>
      <c r="F533" s="62"/>
      <c r="I533" s="62"/>
      <c r="L533" s="62"/>
    </row>
    <row r="534">
      <c r="C534" s="62"/>
      <c r="F534" s="62"/>
      <c r="I534" s="62"/>
      <c r="L534" s="62"/>
    </row>
    <row r="535">
      <c r="C535" s="62"/>
      <c r="F535" s="62"/>
      <c r="I535" s="62"/>
      <c r="L535" s="62"/>
    </row>
    <row r="536">
      <c r="C536" s="62"/>
      <c r="F536" s="62"/>
      <c r="I536" s="62"/>
      <c r="L536" s="62"/>
    </row>
    <row r="537">
      <c r="C537" s="62"/>
      <c r="F537" s="62"/>
      <c r="I537" s="62"/>
      <c r="L537" s="62"/>
    </row>
    <row r="538">
      <c r="C538" s="62"/>
      <c r="F538" s="62"/>
      <c r="I538" s="62"/>
      <c r="L538" s="62"/>
    </row>
    <row r="539">
      <c r="C539" s="62"/>
      <c r="F539" s="62"/>
      <c r="I539" s="62"/>
      <c r="L539" s="62"/>
    </row>
    <row r="540">
      <c r="C540" s="62"/>
      <c r="F540" s="62"/>
      <c r="I540" s="62"/>
      <c r="L540" s="62"/>
    </row>
    <row r="541">
      <c r="C541" s="62"/>
      <c r="F541" s="62"/>
      <c r="I541" s="62"/>
      <c r="L541" s="62"/>
    </row>
    <row r="542">
      <c r="C542" s="62"/>
      <c r="F542" s="62"/>
      <c r="I542" s="62"/>
      <c r="L542" s="62"/>
    </row>
    <row r="543">
      <c r="C543" s="62"/>
      <c r="F543" s="62"/>
      <c r="I543" s="62"/>
      <c r="L543" s="62"/>
    </row>
    <row r="544">
      <c r="C544" s="62"/>
      <c r="F544" s="62"/>
      <c r="I544" s="62"/>
      <c r="L544" s="62"/>
    </row>
    <row r="545">
      <c r="C545" s="62"/>
      <c r="F545" s="62"/>
      <c r="I545" s="62"/>
      <c r="L545" s="62"/>
    </row>
    <row r="546">
      <c r="C546" s="62"/>
      <c r="F546" s="62"/>
      <c r="I546" s="62"/>
      <c r="L546" s="62"/>
    </row>
    <row r="547">
      <c r="C547" s="62"/>
      <c r="F547" s="62"/>
      <c r="I547" s="62"/>
      <c r="L547" s="62"/>
    </row>
    <row r="548">
      <c r="C548" s="62"/>
      <c r="F548" s="62"/>
      <c r="I548" s="62"/>
      <c r="L548" s="62"/>
    </row>
    <row r="549">
      <c r="C549" s="62"/>
      <c r="F549" s="62"/>
      <c r="I549" s="62"/>
      <c r="L549" s="62"/>
    </row>
    <row r="550">
      <c r="C550" s="62"/>
      <c r="F550" s="62"/>
      <c r="I550" s="62"/>
      <c r="L550" s="62"/>
    </row>
    <row r="551">
      <c r="C551" s="62"/>
      <c r="F551" s="62"/>
      <c r="I551" s="62"/>
      <c r="L551" s="62"/>
    </row>
    <row r="552">
      <c r="C552" s="62"/>
      <c r="F552" s="62"/>
      <c r="I552" s="62"/>
      <c r="L552" s="62"/>
    </row>
    <row r="553">
      <c r="C553" s="62"/>
      <c r="F553" s="62"/>
      <c r="I553" s="62"/>
      <c r="L553" s="62"/>
    </row>
    <row r="554">
      <c r="C554" s="62"/>
      <c r="F554" s="62"/>
      <c r="I554" s="62"/>
      <c r="L554" s="62"/>
    </row>
    <row r="555">
      <c r="C555" s="62"/>
      <c r="F555" s="62"/>
      <c r="I555" s="62"/>
      <c r="L555" s="62"/>
    </row>
    <row r="556">
      <c r="C556" s="62"/>
      <c r="F556" s="62"/>
      <c r="I556" s="62"/>
      <c r="L556" s="62"/>
    </row>
    <row r="557">
      <c r="C557" s="62"/>
      <c r="F557" s="62"/>
      <c r="I557" s="62"/>
      <c r="L557" s="62"/>
    </row>
    <row r="558">
      <c r="C558" s="62"/>
      <c r="F558" s="62"/>
      <c r="I558" s="62"/>
      <c r="L558" s="62"/>
    </row>
    <row r="559">
      <c r="C559" s="62"/>
      <c r="F559" s="62"/>
      <c r="I559" s="62"/>
      <c r="L559" s="62"/>
    </row>
    <row r="560">
      <c r="C560" s="62"/>
      <c r="F560" s="62"/>
      <c r="I560" s="62"/>
      <c r="L560" s="62"/>
    </row>
    <row r="561">
      <c r="C561" s="62"/>
      <c r="F561" s="62"/>
      <c r="I561" s="62"/>
      <c r="L561" s="62"/>
    </row>
    <row r="562">
      <c r="C562" s="62"/>
      <c r="F562" s="62"/>
      <c r="I562" s="62"/>
      <c r="L562" s="62"/>
    </row>
    <row r="563">
      <c r="C563" s="62"/>
      <c r="F563" s="62"/>
      <c r="I563" s="62"/>
      <c r="L563" s="62"/>
    </row>
    <row r="564">
      <c r="C564" s="62"/>
      <c r="F564" s="62"/>
      <c r="I564" s="62"/>
      <c r="L564" s="62"/>
    </row>
    <row r="565">
      <c r="C565" s="62"/>
      <c r="F565" s="62"/>
      <c r="I565" s="62"/>
      <c r="L565" s="62"/>
    </row>
    <row r="566">
      <c r="C566" s="62"/>
      <c r="F566" s="62"/>
      <c r="I566" s="62"/>
      <c r="L566" s="62"/>
    </row>
    <row r="567">
      <c r="C567" s="62"/>
      <c r="F567" s="62"/>
      <c r="I567" s="62"/>
      <c r="L567" s="62"/>
    </row>
    <row r="568">
      <c r="C568" s="62"/>
      <c r="F568" s="62"/>
      <c r="I568" s="62"/>
      <c r="L568" s="62"/>
    </row>
    <row r="569">
      <c r="C569" s="62"/>
      <c r="F569" s="62"/>
      <c r="I569" s="62"/>
      <c r="L569" s="62"/>
    </row>
    <row r="570">
      <c r="C570" s="62"/>
      <c r="F570" s="62"/>
      <c r="I570" s="62"/>
      <c r="L570" s="62"/>
    </row>
    <row r="571">
      <c r="C571" s="62"/>
      <c r="F571" s="62"/>
      <c r="I571" s="62"/>
      <c r="L571" s="62"/>
    </row>
    <row r="572">
      <c r="C572" s="62"/>
      <c r="F572" s="62"/>
      <c r="I572" s="62"/>
      <c r="L572" s="62"/>
    </row>
    <row r="573">
      <c r="C573" s="62"/>
      <c r="F573" s="62"/>
      <c r="I573" s="62"/>
      <c r="L573" s="62"/>
    </row>
    <row r="574">
      <c r="C574" s="62"/>
      <c r="F574" s="62"/>
      <c r="I574" s="62"/>
      <c r="L574" s="62"/>
    </row>
    <row r="575">
      <c r="C575" s="62"/>
      <c r="F575" s="62"/>
      <c r="I575" s="62"/>
      <c r="L575" s="62"/>
    </row>
    <row r="576">
      <c r="C576" s="62"/>
      <c r="F576" s="62"/>
      <c r="I576" s="62"/>
      <c r="L576" s="62"/>
    </row>
    <row r="577">
      <c r="C577" s="62"/>
      <c r="F577" s="62"/>
      <c r="I577" s="62"/>
      <c r="L577" s="62"/>
    </row>
    <row r="578">
      <c r="C578" s="62"/>
      <c r="F578" s="62"/>
      <c r="I578" s="62"/>
      <c r="L578" s="62"/>
    </row>
    <row r="579">
      <c r="C579" s="62"/>
      <c r="F579" s="62"/>
      <c r="I579" s="62"/>
      <c r="L579" s="62"/>
    </row>
    <row r="580">
      <c r="C580" s="62"/>
      <c r="F580" s="62"/>
      <c r="I580" s="62"/>
      <c r="L580" s="62"/>
    </row>
    <row r="581">
      <c r="C581" s="62"/>
      <c r="F581" s="62"/>
      <c r="I581" s="62"/>
      <c r="L581" s="62"/>
    </row>
    <row r="582">
      <c r="C582" s="62"/>
      <c r="F582" s="62"/>
      <c r="I582" s="62"/>
      <c r="L582" s="62"/>
    </row>
    <row r="583">
      <c r="C583" s="62"/>
      <c r="F583" s="62"/>
      <c r="I583" s="62"/>
      <c r="L583" s="62"/>
    </row>
    <row r="584">
      <c r="C584" s="62"/>
      <c r="F584" s="62"/>
      <c r="I584" s="62"/>
      <c r="L584" s="62"/>
    </row>
    <row r="585">
      <c r="C585" s="62"/>
      <c r="F585" s="62"/>
      <c r="I585" s="62"/>
      <c r="L585" s="62"/>
    </row>
    <row r="586">
      <c r="C586" s="62"/>
      <c r="F586" s="62"/>
      <c r="I586" s="62"/>
      <c r="L586" s="62"/>
    </row>
    <row r="587">
      <c r="C587" s="62"/>
      <c r="F587" s="62"/>
      <c r="I587" s="62"/>
      <c r="L587" s="62"/>
    </row>
    <row r="588">
      <c r="C588" s="62"/>
      <c r="F588" s="62"/>
      <c r="I588" s="62"/>
      <c r="L588" s="62"/>
    </row>
    <row r="589">
      <c r="C589" s="62"/>
      <c r="F589" s="62"/>
      <c r="I589" s="62"/>
      <c r="L589" s="62"/>
    </row>
    <row r="590">
      <c r="C590" s="62"/>
      <c r="F590" s="62"/>
      <c r="I590" s="62"/>
      <c r="L590" s="62"/>
    </row>
    <row r="591">
      <c r="C591" s="62"/>
      <c r="F591" s="62"/>
      <c r="I591" s="62"/>
      <c r="L591" s="62"/>
    </row>
    <row r="592">
      <c r="C592" s="62"/>
      <c r="F592" s="62"/>
      <c r="I592" s="62"/>
      <c r="L592" s="62"/>
    </row>
    <row r="593">
      <c r="C593" s="62"/>
      <c r="F593" s="62"/>
      <c r="I593" s="62"/>
      <c r="L593" s="62"/>
    </row>
    <row r="594">
      <c r="C594" s="62"/>
      <c r="F594" s="62"/>
      <c r="I594" s="62"/>
      <c r="L594" s="62"/>
    </row>
    <row r="595">
      <c r="C595" s="62"/>
      <c r="F595" s="62"/>
      <c r="I595" s="62"/>
      <c r="L595" s="62"/>
    </row>
    <row r="596">
      <c r="C596" s="62"/>
      <c r="F596" s="62"/>
      <c r="I596" s="62"/>
      <c r="L596" s="62"/>
    </row>
    <row r="597">
      <c r="C597" s="62"/>
      <c r="F597" s="62"/>
      <c r="I597" s="62"/>
      <c r="L597" s="62"/>
    </row>
    <row r="598">
      <c r="C598" s="62"/>
      <c r="F598" s="62"/>
      <c r="I598" s="62"/>
      <c r="L598" s="62"/>
    </row>
    <row r="599">
      <c r="C599" s="62"/>
      <c r="F599" s="62"/>
      <c r="I599" s="62"/>
      <c r="L599" s="62"/>
    </row>
    <row r="600">
      <c r="C600" s="62"/>
      <c r="F600" s="62"/>
      <c r="I600" s="62"/>
      <c r="L600" s="62"/>
    </row>
    <row r="601">
      <c r="C601" s="62"/>
      <c r="F601" s="62"/>
      <c r="I601" s="62"/>
      <c r="L601" s="62"/>
    </row>
    <row r="602">
      <c r="C602" s="62"/>
      <c r="F602" s="62"/>
      <c r="I602" s="62"/>
      <c r="L602" s="62"/>
    </row>
    <row r="603">
      <c r="C603" s="62"/>
      <c r="F603" s="62"/>
      <c r="I603" s="62"/>
      <c r="L603" s="62"/>
    </row>
    <row r="604">
      <c r="C604" s="62"/>
      <c r="F604" s="62"/>
      <c r="I604" s="62"/>
      <c r="L604" s="62"/>
    </row>
    <row r="605">
      <c r="C605" s="62"/>
      <c r="F605" s="62"/>
      <c r="I605" s="62"/>
      <c r="L605" s="62"/>
    </row>
    <row r="606">
      <c r="C606" s="62"/>
      <c r="F606" s="62"/>
      <c r="I606" s="62"/>
      <c r="L606" s="62"/>
    </row>
    <row r="607">
      <c r="C607" s="62"/>
      <c r="F607" s="62"/>
      <c r="I607" s="62"/>
      <c r="L607" s="62"/>
    </row>
    <row r="608">
      <c r="C608" s="62"/>
      <c r="F608" s="62"/>
      <c r="I608" s="62"/>
      <c r="L608" s="62"/>
    </row>
    <row r="609">
      <c r="C609" s="62"/>
      <c r="F609" s="62"/>
      <c r="I609" s="62"/>
      <c r="L609" s="62"/>
    </row>
    <row r="610">
      <c r="C610" s="62"/>
      <c r="F610" s="62"/>
      <c r="I610" s="62"/>
      <c r="L610" s="62"/>
    </row>
    <row r="611">
      <c r="C611" s="62"/>
      <c r="F611" s="62"/>
      <c r="I611" s="62"/>
      <c r="L611" s="62"/>
    </row>
    <row r="612">
      <c r="C612" s="62"/>
      <c r="F612" s="62"/>
      <c r="I612" s="62"/>
      <c r="L612" s="62"/>
    </row>
    <row r="613">
      <c r="C613" s="62"/>
      <c r="F613" s="62"/>
      <c r="I613" s="62"/>
      <c r="L613" s="62"/>
    </row>
    <row r="614">
      <c r="C614" s="62"/>
      <c r="F614" s="62"/>
      <c r="I614" s="62"/>
      <c r="L614" s="62"/>
    </row>
    <row r="615">
      <c r="C615" s="62"/>
      <c r="F615" s="62"/>
      <c r="I615" s="62"/>
      <c r="L615" s="62"/>
    </row>
    <row r="616">
      <c r="C616" s="62"/>
      <c r="F616" s="62"/>
      <c r="I616" s="62"/>
      <c r="L616" s="62"/>
    </row>
    <row r="617">
      <c r="C617" s="62"/>
      <c r="F617" s="62"/>
      <c r="I617" s="62"/>
      <c r="L617" s="62"/>
    </row>
    <row r="618">
      <c r="C618" s="62"/>
      <c r="F618" s="62"/>
      <c r="I618" s="62"/>
      <c r="L618" s="62"/>
    </row>
    <row r="619">
      <c r="C619" s="62"/>
      <c r="F619" s="62"/>
      <c r="I619" s="62"/>
      <c r="L619" s="62"/>
    </row>
    <row r="620">
      <c r="C620" s="62"/>
      <c r="F620" s="62"/>
      <c r="I620" s="62"/>
      <c r="L620" s="62"/>
    </row>
    <row r="621">
      <c r="C621" s="62"/>
      <c r="F621" s="62"/>
      <c r="I621" s="62"/>
      <c r="L621" s="62"/>
    </row>
    <row r="622">
      <c r="C622" s="62"/>
      <c r="F622" s="62"/>
      <c r="I622" s="62"/>
      <c r="L622" s="62"/>
    </row>
    <row r="623">
      <c r="C623" s="62"/>
      <c r="F623" s="62"/>
      <c r="I623" s="62"/>
      <c r="L623" s="62"/>
    </row>
    <row r="624">
      <c r="C624" s="62"/>
      <c r="F624" s="62"/>
      <c r="I624" s="62"/>
      <c r="L624" s="62"/>
    </row>
    <row r="625">
      <c r="C625" s="62"/>
      <c r="F625" s="62"/>
      <c r="I625" s="62"/>
      <c r="L625" s="62"/>
    </row>
    <row r="626">
      <c r="C626" s="62"/>
      <c r="F626" s="62"/>
      <c r="I626" s="62"/>
      <c r="L626" s="62"/>
    </row>
    <row r="627">
      <c r="C627" s="62"/>
      <c r="F627" s="62"/>
      <c r="I627" s="62"/>
      <c r="L627" s="62"/>
    </row>
    <row r="628">
      <c r="C628" s="62"/>
      <c r="F628" s="62"/>
      <c r="I628" s="62"/>
      <c r="L628" s="62"/>
    </row>
    <row r="629">
      <c r="C629" s="62"/>
      <c r="F629" s="62"/>
      <c r="I629" s="62"/>
      <c r="L629" s="62"/>
    </row>
    <row r="630">
      <c r="C630" s="62"/>
      <c r="F630" s="62"/>
      <c r="I630" s="62"/>
      <c r="L630" s="62"/>
    </row>
    <row r="631">
      <c r="C631" s="62"/>
      <c r="F631" s="62"/>
      <c r="I631" s="62"/>
      <c r="L631" s="62"/>
    </row>
    <row r="632">
      <c r="C632" s="62"/>
      <c r="F632" s="62"/>
      <c r="I632" s="62"/>
      <c r="L632" s="62"/>
    </row>
    <row r="633">
      <c r="C633" s="62"/>
      <c r="F633" s="62"/>
      <c r="I633" s="62"/>
      <c r="L633" s="62"/>
    </row>
    <row r="634">
      <c r="C634" s="62"/>
      <c r="F634" s="62"/>
      <c r="I634" s="62"/>
      <c r="L634" s="62"/>
    </row>
    <row r="635">
      <c r="C635" s="62"/>
      <c r="F635" s="62"/>
      <c r="I635" s="62"/>
      <c r="L635" s="62"/>
    </row>
    <row r="636">
      <c r="C636" s="62"/>
      <c r="F636" s="62"/>
      <c r="I636" s="62"/>
      <c r="L636" s="62"/>
    </row>
    <row r="637">
      <c r="C637" s="62"/>
      <c r="F637" s="62"/>
      <c r="I637" s="62"/>
      <c r="L637" s="62"/>
    </row>
    <row r="638">
      <c r="C638" s="62"/>
      <c r="F638" s="62"/>
      <c r="I638" s="62"/>
      <c r="L638" s="62"/>
    </row>
    <row r="639">
      <c r="C639" s="62"/>
      <c r="F639" s="62"/>
      <c r="I639" s="62"/>
      <c r="L639" s="62"/>
    </row>
    <row r="640">
      <c r="C640" s="62"/>
      <c r="F640" s="62"/>
      <c r="I640" s="62"/>
      <c r="L640" s="62"/>
    </row>
    <row r="641">
      <c r="C641" s="62"/>
      <c r="F641" s="62"/>
      <c r="I641" s="62"/>
      <c r="L641" s="62"/>
    </row>
    <row r="642">
      <c r="C642" s="62"/>
      <c r="F642" s="62"/>
      <c r="I642" s="62"/>
      <c r="L642" s="62"/>
    </row>
    <row r="643">
      <c r="C643" s="62"/>
      <c r="F643" s="62"/>
      <c r="I643" s="62"/>
      <c r="L643" s="62"/>
    </row>
    <row r="644">
      <c r="C644" s="62"/>
      <c r="F644" s="62"/>
      <c r="I644" s="62"/>
      <c r="L644" s="62"/>
    </row>
    <row r="645">
      <c r="C645" s="62"/>
      <c r="F645" s="62"/>
      <c r="I645" s="62"/>
      <c r="L645" s="62"/>
    </row>
    <row r="646">
      <c r="C646" s="62"/>
      <c r="F646" s="62"/>
      <c r="I646" s="62"/>
      <c r="L646" s="62"/>
    </row>
    <row r="647">
      <c r="C647" s="62"/>
      <c r="F647" s="62"/>
      <c r="I647" s="62"/>
      <c r="L647" s="62"/>
    </row>
    <row r="648">
      <c r="C648" s="62"/>
      <c r="F648" s="62"/>
      <c r="I648" s="62"/>
      <c r="L648" s="62"/>
    </row>
    <row r="649">
      <c r="C649" s="62"/>
      <c r="F649" s="62"/>
      <c r="I649" s="62"/>
      <c r="L649" s="62"/>
    </row>
    <row r="650">
      <c r="C650" s="62"/>
      <c r="F650" s="62"/>
      <c r="I650" s="62"/>
      <c r="L650" s="62"/>
    </row>
    <row r="651">
      <c r="C651" s="62"/>
      <c r="F651" s="62"/>
      <c r="I651" s="62"/>
      <c r="L651" s="62"/>
    </row>
    <row r="652">
      <c r="C652" s="62"/>
      <c r="F652" s="62"/>
      <c r="I652" s="62"/>
      <c r="L652" s="62"/>
    </row>
    <row r="653">
      <c r="C653" s="62"/>
      <c r="F653" s="62"/>
      <c r="I653" s="62"/>
      <c r="L653" s="62"/>
    </row>
    <row r="654">
      <c r="C654" s="62"/>
      <c r="F654" s="62"/>
      <c r="I654" s="62"/>
      <c r="L654" s="62"/>
    </row>
    <row r="655">
      <c r="C655" s="62"/>
      <c r="F655" s="62"/>
      <c r="I655" s="62"/>
      <c r="L655" s="62"/>
    </row>
    <row r="656">
      <c r="C656" s="62"/>
      <c r="F656" s="62"/>
      <c r="I656" s="62"/>
      <c r="L656" s="62"/>
    </row>
    <row r="657">
      <c r="C657" s="62"/>
      <c r="F657" s="62"/>
      <c r="I657" s="62"/>
      <c r="L657" s="62"/>
    </row>
    <row r="658">
      <c r="C658" s="62"/>
      <c r="F658" s="62"/>
      <c r="I658" s="62"/>
      <c r="L658" s="62"/>
    </row>
    <row r="659">
      <c r="C659" s="62"/>
      <c r="F659" s="62"/>
      <c r="I659" s="62"/>
      <c r="L659" s="62"/>
    </row>
    <row r="660">
      <c r="C660" s="62"/>
      <c r="F660" s="62"/>
      <c r="I660" s="62"/>
      <c r="L660" s="62"/>
    </row>
    <row r="661">
      <c r="C661" s="62"/>
      <c r="F661" s="62"/>
      <c r="I661" s="62"/>
      <c r="L661" s="62"/>
    </row>
    <row r="662">
      <c r="C662" s="62"/>
      <c r="F662" s="62"/>
      <c r="I662" s="62"/>
      <c r="L662" s="62"/>
    </row>
    <row r="663">
      <c r="C663" s="62"/>
      <c r="F663" s="62"/>
      <c r="I663" s="62"/>
      <c r="L663" s="62"/>
    </row>
    <row r="664">
      <c r="C664" s="62"/>
      <c r="F664" s="62"/>
      <c r="I664" s="62"/>
      <c r="L664" s="62"/>
    </row>
    <row r="665">
      <c r="C665" s="62"/>
      <c r="F665" s="62"/>
      <c r="I665" s="62"/>
      <c r="L665" s="62"/>
    </row>
    <row r="666">
      <c r="C666" s="62"/>
      <c r="F666" s="62"/>
      <c r="I666" s="62"/>
      <c r="L666" s="62"/>
    </row>
    <row r="667">
      <c r="C667" s="62"/>
      <c r="F667" s="62"/>
      <c r="I667" s="62"/>
      <c r="L667" s="62"/>
    </row>
    <row r="668">
      <c r="C668" s="62"/>
      <c r="F668" s="62"/>
      <c r="I668" s="62"/>
      <c r="L668" s="62"/>
    </row>
    <row r="669">
      <c r="C669" s="62"/>
      <c r="F669" s="62"/>
      <c r="I669" s="62"/>
      <c r="L669" s="62"/>
    </row>
    <row r="670">
      <c r="C670" s="62"/>
      <c r="F670" s="62"/>
      <c r="I670" s="62"/>
      <c r="L670" s="62"/>
    </row>
    <row r="671">
      <c r="C671" s="62"/>
      <c r="F671" s="62"/>
      <c r="I671" s="62"/>
      <c r="L671" s="62"/>
    </row>
    <row r="672">
      <c r="C672" s="62"/>
      <c r="F672" s="62"/>
      <c r="I672" s="62"/>
      <c r="L672" s="62"/>
    </row>
    <row r="673">
      <c r="C673" s="62"/>
      <c r="F673" s="62"/>
      <c r="I673" s="62"/>
      <c r="L673" s="62"/>
    </row>
    <row r="674">
      <c r="C674" s="62"/>
      <c r="F674" s="62"/>
      <c r="I674" s="62"/>
      <c r="L674" s="62"/>
    </row>
    <row r="675">
      <c r="C675" s="62"/>
      <c r="F675" s="62"/>
      <c r="I675" s="62"/>
      <c r="L675" s="62"/>
    </row>
    <row r="676">
      <c r="C676" s="62"/>
      <c r="F676" s="62"/>
      <c r="I676" s="62"/>
      <c r="L676" s="62"/>
    </row>
    <row r="677">
      <c r="C677" s="62"/>
      <c r="F677" s="62"/>
      <c r="I677" s="62"/>
      <c r="L677" s="62"/>
    </row>
    <row r="678">
      <c r="C678" s="62"/>
      <c r="F678" s="62"/>
      <c r="I678" s="62"/>
      <c r="L678" s="62"/>
    </row>
    <row r="679">
      <c r="C679" s="62"/>
      <c r="F679" s="62"/>
      <c r="I679" s="62"/>
      <c r="L679" s="62"/>
    </row>
    <row r="680">
      <c r="C680" s="62"/>
      <c r="F680" s="62"/>
      <c r="I680" s="62"/>
      <c r="L680" s="62"/>
    </row>
    <row r="681">
      <c r="C681" s="62"/>
      <c r="F681" s="62"/>
      <c r="I681" s="62"/>
      <c r="L681" s="62"/>
    </row>
    <row r="682">
      <c r="C682" s="62"/>
      <c r="F682" s="62"/>
      <c r="I682" s="62"/>
      <c r="L682" s="62"/>
    </row>
    <row r="683">
      <c r="C683" s="62"/>
      <c r="F683" s="62"/>
      <c r="I683" s="62"/>
      <c r="L683" s="62"/>
    </row>
    <row r="684">
      <c r="C684" s="62"/>
      <c r="F684" s="62"/>
      <c r="I684" s="62"/>
      <c r="L684" s="62"/>
    </row>
    <row r="685">
      <c r="C685" s="62"/>
      <c r="F685" s="62"/>
      <c r="I685" s="62"/>
      <c r="L685" s="62"/>
    </row>
    <row r="686">
      <c r="C686" s="62"/>
      <c r="F686" s="62"/>
      <c r="I686" s="62"/>
      <c r="L686" s="62"/>
    </row>
    <row r="687">
      <c r="C687" s="62"/>
      <c r="F687" s="62"/>
      <c r="I687" s="62"/>
      <c r="L687" s="62"/>
    </row>
    <row r="688">
      <c r="C688" s="62"/>
      <c r="F688" s="62"/>
      <c r="I688" s="62"/>
      <c r="L688" s="62"/>
    </row>
    <row r="689">
      <c r="C689" s="62"/>
      <c r="F689" s="62"/>
      <c r="I689" s="62"/>
      <c r="L689" s="62"/>
    </row>
    <row r="690">
      <c r="C690" s="62"/>
      <c r="F690" s="62"/>
      <c r="I690" s="62"/>
      <c r="L690" s="62"/>
    </row>
    <row r="691">
      <c r="C691" s="62"/>
      <c r="F691" s="62"/>
      <c r="I691" s="62"/>
      <c r="L691" s="62"/>
    </row>
    <row r="692">
      <c r="C692" s="62"/>
      <c r="F692" s="62"/>
      <c r="I692" s="62"/>
      <c r="L692" s="62"/>
    </row>
    <row r="693">
      <c r="C693" s="62"/>
      <c r="F693" s="62"/>
      <c r="I693" s="62"/>
      <c r="L693" s="62"/>
    </row>
    <row r="694">
      <c r="C694" s="62"/>
      <c r="F694" s="62"/>
      <c r="I694" s="62"/>
      <c r="L694" s="62"/>
    </row>
    <row r="695">
      <c r="C695" s="62"/>
      <c r="F695" s="62"/>
      <c r="I695" s="62"/>
      <c r="L695" s="62"/>
    </row>
    <row r="696">
      <c r="C696" s="62"/>
      <c r="F696" s="62"/>
      <c r="I696" s="62"/>
      <c r="L696" s="62"/>
    </row>
    <row r="697">
      <c r="C697" s="62"/>
      <c r="F697" s="62"/>
      <c r="I697" s="62"/>
      <c r="L697" s="62"/>
    </row>
    <row r="698">
      <c r="C698" s="62"/>
      <c r="F698" s="62"/>
      <c r="I698" s="62"/>
      <c r="L698" s="62"/>
    </row>
    <row r="699">
      <c r="C699" s="62"/>
      <c r="F699" s="62"/>
      <c r="I699" s="62"/>
      <c r="L699" s="62"/>
    </row>
    <row r="700">
      <c r="C700" s="62"/>
      <c r="F700" s="62"/>
      <c r="I700" s="62"/>
      <c r="L700" s="62"/>
    </row>
    <row r="701">
      <c r="C701" s="62"/>
      <c r="F701" s="62"/>
      <c r="I701" s="62"/>
      <c r="L701" s="62"/>
    </row>
    <row r="702">
      <c r="C702" s="62"/>
      <c r="F702" s="62"/>
      <c r="I702" s="62"/>
      <c r="L702" s="62"/>
    </row>
    <row r="703">
      <c r="C703" s="62"/>
      <c r="F703" s="62"/>
      <c r="I703" s="62"/>
      <c r="L703" s="62"/>
    </row>
    <row r="704">
      <c r="C704" s="62"/>
      <c r="F704" s="62"/>
      <c r="I704" s="62"/>
      <c r="L704" s="62"/>
    </row>
    <row r="705">
      <c r="C705" s="62"/>
      <c r="F705" s="62"/>
      <c r="I705" s="62"/>
      <c r="L705" s="62"/>
    </row>
    <row r="706">
      <c r="C706" s="62"/>
      <c r="F706" s="62"/>
      <c r="I706" s="62"/>
      <c r="L706" s="62"/>
    </row>
    <row r="707">
      <c r="C707" s="62"/>
      <c r="F707" s="62"/>
      <c r="I707" s="62"/>
      <c r="L707" s="62"/>
    </row>
    <row r="708">
      <c r="C708" s="62"/>
      <c r="F708" s="62"/>
      <c r="I708" s="62"/>
      <c r="L708" s="62"/>
    </row>
    <row r="709">
      <c r="C709" s="62"/>
      <c r="F709" s="62"/>
      <c r="I709" s="62"/>
      <c r="L709" s="62"/>
    </row>
    <row r="710">
      <c r="C710" s="62"/>
      <c r="F710" s="62"/>
      <c r="I710" s="62"/>
      <c r="L710" s="62"/>
    </row>
    <row r="711">
      <c r="C711" s="62"/>
      <c r="F711" s="62"/>
      <c r="I711" s="62"/>
      <c r="L711" s="62"/>
    </row>
    <row r="712">
      <c r="C712" s="62"/>
      <c r="F712" s="62"/>
      <c r="I712" s="62"/>
      <c r="L712" s="62"/>
    </row>
    <row r="713">
      <c r="C713" s="62"/>
      <c r="F713" s="62"/>
      <c r="I713" s="62"/>
      <c r="L713" s="62"/>
    </row>
    <row r="714">
      <c r="C714" s="62"/>
      <c r="F714" s="62"/>
      <c r="I714" s="62"/>
      <c r="L714" s="62"/>
    </row>
    <row r="715">
      <c r="C715" s="62"/>
      <c r="F715" s="62"/>
      <c r="I715" s="62"/>
      <c r="L715" s="62"/>
    </row>
    <row r="716">
      <c r="C716" s="62"/>
      <c r="F716" s="62"/>
      <c r="I716" s="62"/>
      <c r="L716" s="62"/>
    </row>
    <row r="717">
      <c r="C717" s="62"/>
      <c r="F717" s="62"/>
      <c r="I717" s="62"/>
      <c r="L717" s="62"/>
    </row>
    <row r="718">
      <c r="C718" s="62"/>
      <c r="F718" s="62"/>
      <c r="I718" s="62"/>
      <c r="L718" s="62"/>
    </row>
    <row r="719">
      <c r="C719" s="62"/>
      <c r="F719" s="62"/>
      <c r="I719" s="62"/>
      <c r="L719" s="62"/>
    </row>
    <row r="720">
      <c r="C720" s="62"/>
      <c r="F720" s="62"/>
      <c r="I720" s="62"/>
      <c r="L720" s="62"/>
    </row>
    <row r="721">
      <c r="C721" s="62"/>
      <c r="F721" s="62"/>
      <c r="I721" s="62"/>
      <c r="L721" s="62"/>
    </row>
    <row r="722">
      <c r="C722" s="62"/>
      <c r="F722" s="62"/>
      <c r="I722" s="62"/>
      <c r="L722" s="62"/>
    </row>
    <row r="723">
      <c r="C723" s="62"/>
      <c r="F723" s="62"/>
      <c r="I723" s="62"/>
      <c r="L723" s="62"/>
    </row>
    <row r="724">
      <c r="C724" s="62"/>
      <c r="F724" s="62"/>
      <c r="I724" s="62"/>
      <c r="L724" s="62"/>
    </row>
    <row r="725">
      <c r="C725" s="62"/>
      <c r="F725" s="62"/>
      <c r="I725" s="62"/>
      <c r="L725" s="62"/>
    </row>
    <row r="726">
      <c r="C726" s="62"/>
      <c r="F726" s="62"/>
      <c r="I726" s="62"/>
      <c r="L726" s="62"/>
    </row>
    <row r="727">
      <c r="C727" s="62"/>
      <c r="F727" s="62"/>
      <c r="I727" s="62"/>
      <c r="L727" s="62"/>
    </row>
    <row r="728">
      <c r="C728" s="62"/>
      <c r="F728" s="62"/>
      <c r="I728" s="62"/>
      <c r="L728" s="62"/>
    </row>
    <row r="729">
      <c r="C729" s="62"/>
      <c r="F729" s="62"/>
      <c r="I729" s="62"/>
      <c r="L729" s="62"/>
    </row>
    <row r="730">
      <c r="C730" s="62"/>
      <c r="F730" s="62"/>
      <c r="I730" s="62"/>
      <c r="L730" s="62"/>
    </row>
    <row r="731">
      <c r="C731" s="62"/>
      <c r="F731" s="62"/>
      <c r="I731" s="62"/>
      <c r="L731" s="62"/>
    </row>
    <row r="732">
      <c r="C732" s="62"/>
      <c r="F732" s="62"/>
      <c r="I732" s="62"/>
      <c r="L732" s="62"/>
    </row>
    <row r="733">
      <c r="C733" s="62"/>
      <c r="F733" s="62"/>
      <c r="I733" s="62"/>
      <c r="L733" s="62"/>
    </row>
    <row r="734">
      <c r="C734" s="62"/>
      <c r="F734" s="62"/>
      <c r="I734" s="62"/>
      <c r="L734" s="62"/>
    </row>
    <row r="735">
      <c r="C735" s="62"/>
      <c r="F735" s="62"/>
      <c r="I735" s="62"/>
      <c r="L735" s="62"/>
    </row>
    <row r="736">
      <c r="C736" s="62"/>
      <c r="F736" s="62"/>
      <c r="I736" s="62"/>
      <c r="L736" s="62"/>
    </row>
    <row r="737">
      <c r="C737" s="62"/>
      <c r="F737" s="62"/>
      <c r="I737" s="62"/>
      <c r="L737" s="62"/>
    </row>
    <row r="738">
      <c r="C738" s="62"/>
      <c r="F738" s="62"/>
      <c r="I738" s="62"/>
      <c r="L738" s="62"/>
    </row>
    <row r="739">
      <c r="C739" s="62"/>
      <c r="F739" s="62"/>
      <c r="I739" s="62"/>
      <c r="L739" s="62"/>
    </row>
    <row r="740">
      <c r="C740" s="62"/>
      <c r="F740" s="62"/>
      <c r="I740" s="62"/>
      <c r="L740" s="62"/>
    </row>
    <row r="741">
      <c r="C741" s="62"/>
      <c r="F741" s="62"/>
      <c r="I741" s="62"/>
      <c r="L741" s="62"/>
    </row>
    <row r="742">
      <c r="C742" s="62"/>
      <c r="F742" s="62"/>
      <c r="I742" s="62"/>
      <c r="L742" s="62"/>
    </row>
    <row r="743">
      <c r="C743" s="62"/>
      <c r="F743" s="62"/>
      <c r="I743" s="62"/>
      <c r="L743" s="62"/>
    </row>
    <row r="744">
      <c r="C744" s="62"/>
      <c r="F744" s="62"/>
      <c r="I744" s="62"/>
      <c r="L744" s="62"/>
    </row>
    <row r="745">
      <c r="C745" s="62"/>
      <c r="F745" s="62"/>
      <c r="I745" s="62"/>
      <c r="L745" s="62"/>
    </row>
    <row r="746">
      <c r="C746" s="62"/>
      <c r="F746" s="62"/>
      <c r="I746" s="62"/>
      <c r="L746" s="62"/>
    </row>
    <row r="747">
      <c r="C747" s="62"/>
      <c r="F747" s="62"/>
      <c r="I747" s="62"/>
      <c r="L747" s="62"/>
    </row>
    <row r="748">
      <c r="C748" s="62"/>
      <c r="F748" s="62"/>
      <c r="I748" s="62"/>
      <c r="L748" s="62"/>
    </row>
    <row r="749">
      <c r="C749" s="62"/>
      <c r="F749" s="62"/>
      <c r="I749" s="62"/>
      <c r="L749" s="62"/>
    </row>
    <row r="750">
      <c r="C750" s="62"/>
      <c r="F750" s="62"/>
      <c r="I750" s="62"/>
      <c r="L750" s="62"/>
    </row>
    <row r="751">
      <c r="C751" s="62"/>
      <c r="F751" s="62"/>
      <c r="I751" s="62"/>
      <c r="L751" s="62"/>
    </row>
    <row r="752">
      <c r="C752" s="62"/>
      <c r="F752" s="62"/>
      <c r="I752" s="62"/>
      <c r="L752" s="62"/>
    </row>
    <row r="753">
      <c r="C753" s="62"/>
      <c r="F753" s="62"/>
      <c r="I753" s="62"/>
      <c r="L753" s="62"/>
    </row>
    <row r="754">
      <c r="C754" s="62"/>
      <c r="F754" s="62"/>
      <c r="I754" s="62"/>
      <c r="L754" s="62"/>
    </row>
    <row r="755">
      <c r="C755" s="62"/>
      <c r="F755" s="62"/>
      <c r="I755" s="62"/>
      <c r="L755" s="62"/>
    </row>
    <row r="756">
      <c r="C756" s="62"/>
      <c r="F756" s="62"/>
      <c r="I756" s="62"/>
      <c r="L756" s="62"/>
    </row>
    <row r="757">
      <c r="C757" s="62"/>
      <c r="F757" s="62"/>
      <c r="I757" s="62"/>
      <c r="L757" s="62"/>
    </row>
    <row r="758">
      <c r="C758" s="62"/>
      <c r="F758" s="62"/>
      <c r="I758" s="62"/>
      <c r="L758" s="62"/>
    </row>
    <row r="759">
      <c r="C759" s="62"/>
      <c r="F759" s="62"/>
      <c r="I759" s="62"/>
      <c r="L759" s="62"/>
    </row>
    <row r="760">
      <c r="C760" s="62"/>
      <c r="F760" s="62"/>
      <c r="I760" s="62"/>
      <c r="L760" s="62"/>
    </row>
    <row r="761">
      <c r="C761" s="62"/>
      <c r="F761" s="62"/>
      <c r="I761" s="62"/>
      <c r="L761" s="62"/>
    </row>
    <row r="762">
      <c r="C762" s="62"/>
      <c r="F762" s="62"/>
      <c r="I762" s="62"/>
      <c r="L762" s="62"/>
    </row>
    <row r="763">
      <c r="C763" s="62"/>
      <c r="F763" s="62"/>
      <c r="I763" s="62"/>
      <c r="L763" s="62"/>
    </row>
    <row r="764">
      <c r="C764" s="62"/>
      <c r="F764" s="62"/>
      <c r="I764" s="62"/>
      <c r="L764" s="62"/>
    </row>
    <row r="765">
      <c r="C765" s="62"/>
      <c r="F765" s="62"/>
      <c r="I765" s="62"/>
      <c r="L765" s="62"/>
    </row>
    <row r="766">
      <c r="C766" s="62"/>
      <c r="F766" s="62"/>
      <c r="I766" s="62"/>
      <c r="L766" s="62"/>
    </row>
    <row r="767">
      <c r="C767" s="62"/>
      <c r="F767" s="62"/>
      <c r="I767" s="62"/>
      <c r="L767" s="62"/>
    </row>
    <row r="768">
      <c r="C768" s="62"/>
      <c r="F768" s="62"/>
      <c r="I768" s="62"/>
      <c r="L768" s="62"/>
    </row>
    <row r="769">
      <c r="C769" s="62"/>
      <c r="F769" s="62"/>
      <c r="I769" s="62"/>
      <c r="L769" s="62"/>
    </row>
    <row r="770">
      <c r="C770" s="62"/>
      <c r="F770" s="62"/>
      <c r="I770" s="62"/>
      <c r="L770" s="62"/>
    </row>
    <row r="771">
      <c r="C771" s="62"/>
      <c r="F771" s="62"/>
      <c r="I771" s="62"/>
      <c r="L771" s="62"/>
    </row>
    <row r="772">
      <c r="C772" s="62"/>
      <c r="F772" s="62"/>
      <c r="I772" s="62"/>
      <c r="L772" s="62"/>
    </row>
    <row r="773">
      <c r="C773" s="62"/>
      <c r="F773" s="62"/>
      <c r="I773" s="62"/>
      <c r="L773" s="62"/>
    </row>
    <row r="774">
      <c r="C774" s="62"/>
      <c r="F774" s="62"/>
      <c r="I774" s="62"/>
      <c r="L774" s="62"/>
    </row>
    <row r="775">
      <c r="C775" s="62"/>
      <c r="F775" s="62"/>
      <c r="I775" s="62"/>
      <c r="L775" s="62"/>
    </row>
    <row r="776">
      <c r="C776" s="62"/>
      <c r="F776" s="62"/>
      <c r="I776" s="62"/>
      <c r="L776" s="62"/>
    </row>
    <row r="777">
      <c r="C777" s="62"/>
      <c r="F777" s="62"/>
      <c r="I777" s="62"/>
      <c r="L777" s="62"/>
    </row>
    <row r="778">
      <c r="C778" s="62"/>
      <c r="F778" s="62"/>
      <c r="I778" s="62"/>
      <c r="L778" s="62"/>
    </row>
    <row r="779">
      <c r="C779" s="62"/>
      <c r="F779" s="62"/>
      <c r="I779" s="62"/>
      <c r="L779" s="62"/>
    </row>
    <row r="780">
      <c r="C780" s="62"/>
      <c r="F780" s="62"/>
      <c r="I780" s="62"/>
      <c r="L780" s="62"/>
    </row>
    <row r="781">
      <c r="C781" s="62"/>
      <c r="F781" s="62"/>
      <c r="I781" s="62"/>
      <c r="L781" s="62"/>
    </row>
    <row r="782">
      <c r="C782" s="62"/>
      <c r="F782" s="62"/>
      <c r="I782" s="62"/>
      <c r="L782" s="62"/>
    </row>
    <row r="783">
      <c r="C783" s="62"/>
      <c r="F783" s="62"/>
      <c r="I783" s="62"/>
      <c r="L783" s="62"/>
    </row>
    <row r="784">
      <c r="C784" s="62"/>
      <c r="F784" s="62"/>
      <c r="I784" s="62"/>
      <c r="L784" s="62"/>
    </row>
    <row r="785">
      <c r="C785" s="62"/>
      <c r="F785" s="62"/>
      <c r="I785" s="62"/>
      <c r="L785" s="62"/>
    </row>
    <row r="786">
      <c r="C786" s="62"/>
      <c r="F786" s="62"/>
      <c r="I786" s="62"/>
      <c r="L786" s="62"/>
    </row>
    <row r="787">
      <c r="C787" s="62"/>
      <c r="F787" s="62"/>
      <c r="I787" s="62"/>
      <c r="L787" s="62"/>
    </row>
    <row r="788">
      <c r="C788" s="62"/>
      <c r="F788" s="62"/>
      <c r="I788" s="62"/>
      <c r="L788" s="62"/>
    </row>
    <row r="789">
      <c r="C789" s="62"/>
      <c r="F789" s="62"/>
      <c r="I789" s="62"/>
      <c r="L789" s="62"/>
    </row>
    <row r="790">
      <c r="C790" s="62"/>
      <c r="F790" s="62"/>
      <c r="I790" s="62"/>
      <c r="L790" s="62"/>
    </row>
    <row r="791">
      <c r="C791" s="62"/>
      <c r="F791" s="62"/>
      <c r="I791" s="62"/>
      <c r="L791" s="62"/>
    </row>
    <row r="792">
      <c r="C792" s="62"/>
      <c r="F792" s="62"/>
      <c r="I792" s="62"/>
      <c r="L792" s="62"/>
    </row>
    <row r="793">
      <c r="C793" s="62"/>
      <c r="F793" s="62"/>
      <c r="I793" s="62"/>
      <c r="L793" s="62"/>
    </row>
    <row r="794">
      <c r="C794" s="62"/>
      <c r="F794" s="62"/>
      <c r="I794" s="62"/>
      <c r="L794" s="62"/>
    </row>
    <row r="795">
      <c r="C795" s="62"/>
      <c r="F795" s="62"/>
      <c r="I795" s="62"/>
      <c r="L795" s="62"/>
    </row>
    <row r="796">
      <c r="C796" s="62"/>
      <c r="F796" s="62"/>
      <c r="I796" s="62"/>
      <c r="L796" s="62"/>
    </row>
    <row r="797">
      <c r="C797" s="62"/>
      <c r="F797" s="62"/>
      <c r="I797" s="62"/>
      <c r="L797" s="62"/>
    </row>
    <row r="798">
      <c r="C798" s="62"/>
      <c r="F798" s="62"/>
      <c r="I798" s="62"/>
      <c r="L798" s="62"/>
    </row>
    <row r="799">
      <c r="C799" s="62"/>
      <c r="F799" s="62"/>
      <c r="I799" s="62"/>
      <c r="L799" s="62"/>
    </row>
    <row r="800">
      <c r="C800" s="62"/>
      <c r="F800" s="62"/>
      <c r="I800" s="62"/>
      <c r="L800" s="62"/>
    </row>
    <row r="801">
      <c r="C801" s="62"/>
      <c r="F801" s="62"/>
      <c r="I801" s="62"/>
      <c r="L801" s="62"/>
    </row>
    <row r="802">
      <c r="C802" s="62"/>
      <c r="F802" s="62"/>
      <c r="I802" s="62"/>
      <c r="L802" s="62"/>
    </row>
    <row r="803">
      <c r="C803" s="62"/>
      <c r="F803" s="62"/>
      <c r="I803" s="62"/>
      <c r="L803" s="62"/>
    </row>
    <row r="804">
      <c r="C804" s="62"/>
      <c r="F804" s="62"/>
      <c r="I804" s="62"/>
      <c r="L804" s="62"/>
    </row>
    <row r="805">
      <c r="C805" s="62"/>
      <c r="F805" s="62"/>
      <c r="I805" s="62"/>
      <c r="L805" s="62"/>
    </row>
    <row r="806">
      <c r="C806" s="62"/>
      <c r="F806" s="62"/>
      <c r="I806" s="62"/>
      <c r="L806" s="62"/>
    </row>
    <row r="807">
      <c r="C807" s="62"/>
      <c r="F807" s="62"/>
      <c r="I807" s="62"/>
      <c r="L807" s="62"/>
    </row>
    <row r="808">
      <c r="C808" s="62"/>
      <c r="F808" s="62"/>
      <c r="I808" s="62"/>
      <c r="L808" s="62"/>
    </row>
    <row r="809">
      <c r="C809" s="62"/>
      <c r="F809" s="62"/>
      <c r="I809" s="62"/>
      <c r="L809" s="62"/>
    </row>
    <row r="810">
      <c r="C810" s="62"/>
      <c r="F810" s="62"/>
      <c r="I810" s="62"/>
      <c r="L810" s="62"/>
    </row>
    <row r="811">
      <c r="C811" s="62"/>
      <c r="F811" s="62"/>
      <c r="I811" s="62"/>
      <c r="L811" s="62"/>
    </row>
    <row r="812">
      <c r="C812" s="62"/>
      <c r="F812" s="62"/>
      <c r="I812" s="62"/>
      <c r="L812" s="62"/>
    </row>
    <row r="813">
      <c r="C813" s="62"/>
      <c r="F813" s="62"/>
      <c r="I813" s="62"/>
      <c r="L813" s="62"/>
    </row>
    <row r="814">
      <c r="C814" s="62"/>
      <c r="F814" s="62"/>
      <c r="I814" s="62"/>
      <c r="L814" s="62"/>
    </row>
    <row r="815">
      <c r="C815" s="62"/>
      <c r="F815" s="62"/>
      <c r="I815" s="62"/>
      <c r="L815" s="62"/>
    </row>
    <row r="816">
      <c r="C816" s="62"/>
      <c r="F816" s="62"/>
      <c r="I816" s="62"/>
      <c r="L816" s="62"/>
    </row>
    <row r="817">
      <c r="C817" s="62"/>
      <c r="F817" s="62"/>
      <c r="I817" s="62"/>
      <c r="L817" s="62"/>
    </row>
    <row r="818">
      <c r="C818" s="62"/>
      <c r="F818" s="62"/>
      <c r="I818" s="62"/>
      <c r="L818" s="62"/>
    </row>
    <row r="819">
      <c r="C819" s="62"/>
      <c r="F819" s="62"/>
      <c r="I819" s="62"/>
      <c r="L819" s="62"/>
    </row>
    <row r="820">
      <c r="C820" s="62"/>
      <c r="F820" s="62"/>
      <c r="I820" s="62"/>
      <c r="L820" s="62"/>
    </row>
    <row r="821">
      <c r="C821" s="62"/>
      <c r="F821" s="62"/>
      <c r="I821" s="62"/>
      <c r="L821" s="62"/>
    </row>
    <row r="822">
      <c r="C822" s="62"/>
      <c r="F822" s="62"/>
      <c r="I822" s="62"/>
      <c r="L822" s="62"/>
    </row>
    <row r="823">
      <c r="C823" s="62"/>
      <c r="F823" s="62"/>
      <c r="I823" s="62"/>
      <c r="L823" s="62"/>
    </row>
    <row r="824">
      <c r="C824" s="62"/>
      <c r="F824" s="62"/>
      <c r="I824" s="62"/>
      <c r="L824" s="62"/>
    </row>
    <row r="825">
      <c r="C825" s="62"/>
      <c r="F825" s="62"/>
      <c r="I825" s="62"/>
      <c r="L825" s="62"/>
    </row>
    <row r="826">
      <c r="C826" s="62"/>
      <c r="F826" s="62"/>
      <c r="I826" s="62"/>
      <c r="L826" s="62"/>
    </row>
    <row r="827">
      <c r="C827" s="62"/>
      <c r="F827" s="62"/>
      <c r="I827" s="62"/>
      <c r="L827" s="62"/>
    </row>
    <row r="828">
      <c r="C828" s="62"/>
      <c r="F828" s="62"/>
      <c r="I828" s="62"/>
      <c r="L828" s="62"/>
    </row>
    <row r="829">
      <c r="C829" s="62"/>
      <c r="F829" s="62"/>
      <c r="I829" s="62"/>
      <c r="L829" s="62"/>
    </row>
    <row r="830">
      <c r="C830" s="62"/>
      <c r="F830" s="62"/>
      <c r="I830" s="62"/>
      <c r="L830" s="62"/>
    </row>
    <row r="831">
      <c r="C831" s="62"/>
      <c r="F831" s="62"/>
      <c r="I831" s="62"/>
      <c r="L831" s="62"/>
    </row>
    <row r="832">
      <c r="C832" s="62"/>
      <c r="F832" s="62"/>
      <c r="I832" s="62"/>
      <c r="L832" s="62"/>
    </row>
    <row r="833">
      <c r="C833" s="62"/>
      <c r="F833" s="62"/>
      <c r="I833" s="62"/>
      <c r="L833" s="62"/>
    </row>
    <row r="834">
      <c r="C834" s="62"/>
      <c r="F834" s="62"/>
      <c r="I834" s="62"/>
      <c r="L834" s="62"/>
    </row>
    <row r="835">
      <c r="C835" s="62"/>
      <c r="F835" s="62"/>
      <c r="I835" s="62"/>
      <c r="L835" s="62"/>
    </row>
    <row r="836">
      <c r="C836" s="62"/>
      <c r="F836" s="62"/>
      <c r="I836" s="62"/>
      <c r="L836" s="62"/>
    </row>
    <row r="837">
      <c r="C837" s="62"/>
      <c r="F837" s="62"/>
      <c r="I837" s="62"/>
      <c r="L837" s="62"/>
    </row>
    <row r="838">
      <c r="C838" s="62"/>
      <c r="F838" s="62"/>
      <c r="I838" s="62"/>
      <c r="L838" s="62"/>
    </row>
    <row r="839">
      <c r="C839" s="62"/>
      <c r="F839" s="62"/>
      <c r="I839" s="62"/>
      <c r="L839" s="62"/>
    </row>
    <row r="840">
      <c r="C840" s="62"/>
      <c r="F840" s="62"/>
      <c r="I840" s="62"/>
      <c r="L840" s="62"/>
    </row>
    <row r="841">
      <c r="C841" s="62"/>
      <c r="F841" s="62"/>
      <c r="I841" s="62"/>
      <c r="L841" s="62"/>
    </row>
    <row r="842">
      <c r="C842" s="62"/>
      <c r="F842" s="62"/>
      <c r="I842" s="62"/>
      <c r="L842" s="62"/>
    </row>
    <row r="843">
      <c r="C843" s="62"/>
      <c r="F843" s="62"/>
      <c r="I843" s="62"/>
      <c r="L843" s="62"/>
    </row>
    <row r="844">
      <c r="C844" s="62"/>
      <c r="F844" s="62"/>
      <c r="I844" s="62"/>
      <c r="L844" s="62"/>
    </row>
    <row r="845">
      <c r="C845" s="62"/>
      <c r="F845" s="62"/>
      <c r="I845" s="62"/>
      <c r="L845" s="62"/>
    </row>
    <row r="846">
      <c r="C846" s="62"/>
      <c r="F846" s="62"/>
      <c r="I846" s="62"/>
      <c r="L846" s="62"/>
    </row>
    <row r="847">
      <c r="C847" s="62"/>
      <c r="F847" s="62"/>
      <c r="I847" s="62"/>
      <c r="L847" s="62"/>
    </row>
    <row r="848">
      <c r="C848" s="62"/>
      <c r="F848" s="62"/>
      <c r="I848" s="62"/>
      <c r="L848" s="62"/>
    </row>
    <row r="849">
      <c r="C849" s="62"/>
      <c r="F849" s="62"/>
      <c r="I849" s="62"/>
      <c r="L849" s="62"/>
    </row>
    <row r="850">
      <c r="C850" s="62"/>
      <c r="F850" s="62"/>
      <c r="I850" s="62"/>
      <c r="L850" s="62"/>
    </row>
    <row r="851">
      <c r="C851" s="62"/>
      <c r="F851" s="62"/>
      <c r="I851" s="62"/>
      <c r="L851" s="62"/>
    </row>
    <row r="852">
      <c r="C852" s="62"/>
      <c r="F852" s="62"/>
      <c r="I852" s="62"/>
      <c r="L852" s="62"/>
    </row>
    <row r="853">
      <c r="C853" s="62"/>
      <c r="F853" s="62"/>
      <c r="I853" s="62"/>
      <c r="L853" s="62"/>
    </row>
    <row r="854">
      <c r="C854" s="62"/>
      <c r="F854" s="62"/>
      <c r="I854" s="62"/>
      <c r="L854" s="62"/>
    </row>
    <row r="855">
      <c r="C855" s="62"/>
      <c r="F855" s="62"/>
      <c r="I855" s="62"/>
      <c r="L855" s="62"/>
    </row>
    <row r="856">
      <c r="C856" s="62"/>
      <c r="F856" s="62"/>
      <c r="I856" s="62"/>
      <c r="L856" s="62"/>
    </row>
    <row r="857">
      <c r="C857" s="62"/>
      <c r="F857" s="62"/>
      <c r="I857" s="62"/>
      <c r="L857" s="62"/>
    </row>
    <row r="858">
      <c r="C858" s="62"/>
      <c r="F858" s="62"/>
      <c r="I858" s="62"/>
      <c r="L858" s="62"/>
    </row>
    <row r="859">
      <c r="C859" s="62"/>
      <c r="F859" s="62"/>
      <c r="I859" s="62"/>
      <c r="L859" s="62"/>
    </row>
    <row r="860">
      <c r="C860" s="62"/>
      <c r="F860" s="62"/>
      <c r="I860" s="62"/>
      <c r="L860" s="62"/>
    </row>
    <row r="861">
      <c r="C861" s="62"/>
      <c r="F861" s="62"/>
      <c r="I861" s="62"/>
      <c r="L861" s="62"/>
    </row>
    <row r="862">
      <c r="C862" s="62"/>
      <c r="F862" s="62"/>
      <c r="I862" s="62"/>
      <c r="L862" s="62"/>
    </row>
    <row r="863">
      <c r="C863" s="62"/>
      <c r="F863" s="62"/>
      <c r="I863" s="62"/>
      <c r="L863" s="62"/>
    </row>
    <row r="864">
      <c r="C864" s="62"/>
      <c r="F864" s="62"/>
      <c r="I864" s="62"/>
      <c r="L864" s="62"/>
    </row>
    <row r="865">
      <c r="C865" s="62"/>
      <c r="F865" s="62"/>
      <c r="I865" s="62"/>
      <c r="L865" s="62"/>
    </row>
    <row r="866">
      <c r="C866" s="62"/>
      <c r="F866" s="62"/>
      <c r="I866" s="62"/>
      <c r="L866" s="62"/>
    </row>
    <row r="867">
      <c r="C867" s="62"/>
      <c r="F867" s="62"/>
      <c r="I867" s="62"/>
      <c r="L867" s="62"/>
    </row>
    <row r="868">
      <c r="C868" s="62"/>
      <c r="F868" s="62"/>
      <c r="I868" s="62"/>
      <c r="L868" s="62"/>
    </row>
    <row r="869">
      <c r="C869" s="62"/>
      <c r="F869" s="62"/>
      <c r="I869" s="62"/>
      <c r="L869" s="62"/>
    </row>
    <row r="870">
      <c r="C870" s="62"/>
      <c r="F870" s="62"/>
      <c r="I870" s="62"/>
      <c r="L870" s="62"/>
    </row>
    <row r="871">
      <c r="C871" s="62"/>
      <c r="F871" s="62"/>
      <c r="I871" s="62"/>
      <c r="L871" s="62"/>
    </row>
    <row r="872">
      <c r="C872" s="62"/>
      <c r="F872" s="62"/>
      <c r="I872" s="62"/>
      <c r="L872" s="62"/>
    </row>
    <row r="873">
      <c r="C873" s="62"/>
      <c r="F873" s="62"/>
      <c r="I873" s="62"/>
      <c r="L873" s="62"/>
    </row>
    <row r="874">
      <c r="C874" s="62"/>
      <c r="F874" s="62"/>
      <c r="I874" s="62"/>
      <c r="L874" s="62"/>
    </row>
    <row r="875">
      <c r="C875" s="62"/>
      <c r="F875" s="62"/>
      <c r="I875" s="62"/>
      <c r="L875" s="62"/>
    </row>
    <row r="876">
      <c r="C876" s="62"/>
      <c r="F876" s="62"/>
      <c r="I876" s="62"/>
      <c r="L876" s="62"/>
    </row>
    <row r="877">
      <c r="C877" s="62"/>
      <c r="F877" s="62"/>
      <c r="I877" s="62"/>
      <c r="L877" s="62"/>
    </row>
    <row r="878">
      <c r="C878" s="62"/>
      <c r="F878" s="62"/>
      <c r="I878" s="62"/>
      <c r="L878" s="62"/>
    </row>
    <row r="879">
      <c r="C879" s="62"/>
      <c r="F879" s="62"/>
      <c r="I879" s="62"/>
      <c r="L879" s="62"/>
    </row>
    <row r="880">
      <c r="C880" s="62"/>
      <c r="F880" s="62"/>
      <c r="I880" s="62"/>
      <c r="L880" s="62"/>
    </row>
    <row r="881">
      <c r="C881" s="62"/>
      <c r="F881" s="62"/>
      <c r="I881" s="62"/>
      <c r="L881" s="62"/>
    </row>
    <row r="882">
      <c r="C882" s="62"/>
      <c r="F882" s="62"/>
      <c r="I882" s="62"/>
      <c r="L882" s="62"/>
    </row>
    <row r="883">
      <c r="C883" s="62"/>
      <c r="F883" s="62"/>
      <c r="I883" s="62"/>
      <c r="L883" s="62"/>
    </row>
    <row r="884">
      <c r="C884" s="62"/>
      <c r="F884" s="62"/>
      <c r="I884" s="62"/>
      <c r="L884" s="62"/>
    </row>
    <row r="885">
      <c r="C885" s="62"/>
      <c r="F885" s="62"/>
      <c r="I885" s="62"/>
      <c r="L885" s="62"/>
    </row>
    <row r="886">
      <c r="C886" s="62"/>
      <c r="F886" s="62"/>
      <c r="I886" s="62"/>
      <c r="L886" s="62"/>
    </row>
    <row r="887">
      <c r="C887" s="62"/>
      <c r="F887" s="62"/>
      <c r="I887" s="62"/>
      <c r="L887" s="62"/>
    </row>
    <row r="888">
      <c r="C888" s="62"/>
      <c r="F888" s="62"/>
      <c r="I888" s="62"/>
      <c r="L888" s="62"/>
    </row>
    <row r="889">
      <c r="C889" s="62"/>
      <c r="F889" s="62"/>
      <c r="I889" s="62"/>
      <c r="L889" s="62"/>
    </row>
    <row r="890">
      <c r="C890" s="62"/>
      <c r="F890" s="62"/>
      <c r="I890" s="62"/>
      <c r="L890" s="62"/>
    </row>
    <row r="891">
      <c r="C891" s="62"/>
      <c r="F891" s="62"/>
      <c r="I891" s="62"/>
      <c r="L891" s="62"/>
    </row>
    <row r="892">
      <c r="C892" s="62"/>
      <c r="F892" s="62"/>
      <c r="I892" s="62"/>
      <c r="L892" s="62"/>
    </row>
    <row r="893">
      <c r="C893" s="62"/>
      <c r="F893" s="62"/>
      <c r="I893" s="62"/>
      <c r="L893" s="62"/>
    </row>
    <row r="894">
      <c r="C894" s="62"/>
      <c r="F894" s="62"/>
      <c r="I894" s="62"/>
      <c r="L894" s="62"/>
    </row>
    <row r="895">
      <c r="C895" s="62"/>
      <c r="F895" s="62"/>
      <c r="I895" s="62"/>
      <c r="L895" s="62"/>
    </row>
    <row r="896">
      <c r="C896" s="62"/>
      <c r="F896" s="62"/>
      <c r="I896" s="62"/>
      <c r="L896" s="62"/>
    </row>
    <row r="897">
      <c r="C897" s="62"/>
      <c r="F897" s="62"/>
      <c r="I897" s="62"/>
      <c r="L897" s="62"/>
    </row>
    <row r="898">
      <c r="C898" s="62"/>
      <c r="F898" s="62"/>
      <c r="I898" s="62"/>
      <c r="L898" s="62"/>
    </row>
    <row r="899">
      <c r="C899" s="62"/>
      <c r="F899" s="62"/>
      <c r="I899" s="62"/>
      <c r="L899" s="62"/>
    </row>
    <row r="900">
      <c r="C900" s="62"/>
      <c r="F900" s="62"/>
      <c r="I900" s="62"/>
      <c r="L900" s="62"/>
    </row>
    <row r="901">
      <c r="C901" s="62"/>
      <c r="F901" s="62"/>
      <c r="I901" s="62"/>
      <c r="L901" s="62"/>
    </row>
    <row r="902">
      <c r="C902" s="62"/>
      <c r="F902" s="62"/>
      <c r="I902" s="62"/>
      <c r="L902" s="62"/>
    </row>
    <row r="903">
      <c r="C903" s="62"/>
      <c r="F903" s="62"/>
      <c r="I903" s="62"/>
      <c r="L903" s="62"/>
    </row>
    <row r="904">
      <c r="C904" s="62"/>
      <c r="F904" s="62"/>
      <c r="I904" s="62"/>
      <c r="L904" s="62"/>
    </row>
    <row r="905">
      <c r="C905" s="62"/>
      <c r="F905" s="62"/>
      <c r="I905" s="62"/>
      <c r="L905" s="62"/>
    </row>
    <row r="906">
      <c r="C906" s="62"/>
      <c r="F906" s="62"/>
      <c r="I906" s="62"/>
      <c r="L906" s="62"/>
    </row>
    <row r="907">
      <c r="C907" s="62"/>
      <c r="F907" s="62"/>
      <c r="I907" s="62"/>
      <c r="L907" s="62"/>
    </row>
    <row r="908">
      <c r="C908" s="62"/>
      <c r="F908" s="62"/>
      <c r="I908" s="62"/>
      <c r="L908" s="62"/>
    </row>
    <row r="909">
      <c r="C909" s="62"/>
      <c r="F909" s="62"/>
      <c r="I909" s="62"/>
      <c r="L909" s="62"/>
    </row>
    <row r="910">
      <c r="C910" s="62"/>
      <c r="F910" s="62"/>
      <c r="I910" s="62"/>
      <c r="L910" s="62"/>
    </row>
    <row r="911">
      <c r="C911" s="62"/>
      <c r="F911" s="62"/>
      <c r="I911" s="62"/>
      <c r="L911" s="62"/>
    </row>
    <row r="912">
      <c r="C912" s="62"/>
      <c r="F912" s="62"/>
      <c r="I912" s="62"/>
      <c r="L912" s="62"/>
    </row>
    <row r="913">
      <c r="C913" s="62"/>
      <c r="F913" s="62"/>
      <c r="I913" s="62"/>
      <c r="L913" s="62"/>
    </row>
    <row r="914">
      <c r="C914" s="62"/>
      <c r="F914" s="62"/>
      <c r="I914" s="62"/>
      <c r="L914" s="62"/>
    </row>
    <row r="915">
      <c r="C915" s="62"/>
      <c r="F915" s="62"/>
      <c r="I915" s="62"/>
      <c r="L915" s="62"/>
    </row>
    <row r="916">
      <c r="C916" s="62"/>
      <c r="F916" s="62"/>
      <c r="I916" s="62"/>
      <c r="L916" s="62"/>
    </row>
    <row r="917">
      <c r="C917" s="62"/>
      <c r="F917" s="62"/>
      <c r="I917" s="62"/>
      <c r="L917" s="62"/>
    </row>
    <row r="918">
      <c r="C918" s="62"/>
      <c r="F918" s="62"/>
      <c r="I918" s="62"/>
      <c r="L918" s="62"/>
    </row>
    <row r="919">
      <c r="C919" s="62"/>
      <c r="F919" s="62"/>
      <c r="I919" s="62"/>
      <c r="L919" s="62"/>
    </row>
    <row r="920">
      <c r="C920" s="62"/>
      <c r="F920" s="62"/>
      <c r="I920" s="62"/>
      <c r="L920" s="62"/>
    </row>
    <row r="921">
      <c r="C921" s="62"/>
      <c r="F921" s="62"/>
      <c r="I921" s="62"/>
      <c r="L921" s="62"/>
    </row>
    <row r="922">
      <c r="C922" s="62"/>
      <c r="F922" s="62"/>
      <c r="I922" s="62"/>
      <c r="L922" s="62"/>
    </row>
    <row r="923">
      <c r="C923" s="62"/>
      <c r="F923" s="62"/>
      <c r="I923" s="62"/>
      <c r="L923" s="62"/>
    </row>
    <row r="924">
      <c r="C924" s="62"/>
      <c r="F924" s="62"/>
      <c r="I924" s="62"/>
      <c r="L924" s="62"/>
    </row>
    <row r="925">
      <c r="C925" s="62"/>
      <c r="F925" s="62"/>
      <c r="I925" s="62"/>
      <c r="L925" s="62"/>
    </row>
    <row r="926">
      <c r="C926" s="62"/>
      <c r="F926" s="62"/>
      <c r="I926" s="62"/>
      <c r="L926" s="62"/>
    </row>
    <row r="927">
      <c r="C927" s="62"/>
      <c r="F927" s="62"/>
      <c r="I927" s="62"/>
      <c r="L927" s="62"/>
    </row>
    <row r="928">
      <c r="C928" s="62"/>
      <c r="F928" s="62"/>
      <c r="I928" s="62"/>
      <c r="L928" s="62"/>
    </row>
    <row r="929">
      <c r="C929" s="62"/>
      <c r="F929" s="62"/>
      <c r="I929" s="62"/>
      <c r="L929" s="62"/>
    </row>
    <row r="930">
      <c r="C930" s="62"/>
      <c r="F930" s="62"/>
      <c r="I930" s="62"/>
      <c r="L930" s="62"/>
    </row>
    <row r="931">
      <c r="C931" s="62"/>
      <c r="F931" s="62"/>
      <c r="I931" s="62"/>
      <c r="L931" s="62"/>
    </row>
    <row r="932">
      <c r="C932" s="62"/>
      <c r="F932" s="62"/>
      <c r="I932" s="62"/>
      <c r="L932" s="62"/>
    </row>
    <row r="933">
      <c r="C933" s="62"/>
      <c r="F933" s="62"/>
      <c r="I933" s="62"/>
      <c r="L933" s="62"/>
    </row>
    <row r="934">
      <c r="C934" s="62"/>
      <c r="F934" s="62"/>
      <c r="I934" s="62"/>
      <c r="L934" s="62"/>
    </row>
    <row r="935">
      <c r="C935" s="62"/>
      <c r="F935" s="62"/>
      <c r="I935" s="62"/>
      <c r="L935" s="62"/>
    </row>
    <row r="936">
      <c r="C936" s="62"/>
      <c r="F936" s="62"/>
      <c r="I936" s="62"/>
      <c r="L936" s="62"/>
    </row>
    <row r="937">
      <c r="C937" s="62"/>
      <c r="F937" s="62"/>
      <c r="I937" s="62"/>
      <c r="L937" s="62"/>
    </row>
    <row r="938">
      <c r="C938" s="62"/>
      <c r="F938" s="62"/>
      <c r="I938" s="62"/>
      <c r="L938" s="62"/>
    </row>
    <row r="939">
      <c r="C939" s="62"/>
      <c r="F939" s="62"/>
      <c r="I939" s="62"/>
      <c r="L939" s="62"/>
    </row>
    <row r="940">
      <c r="C940" s="62"/>
      <c r="F940" s="62"/>
      <c r="I940" s="62"/>
      <c r="L940" s="62"/>
    </row>
    <row r="941">
      <c r="C941" s="62"/>
      <c r="F941" s="62"/>
      <c r="I941" s="62"/>
      <c r="L941" s="62"/>
    </row>
    <row r="942">
      <c r="C942" s="62"/>
      <c r="F942" s="62"/>
      <c r="I942" s="62"/>
      <c r="L942" s="62"/>
    </row>
    <row r="943">
      <c r="C943" s="62"/>
      <c r="F943" s="62"/>
      <c r="I943" s="62"/>
      <c r="L943" s="62"/>
    </row>
    <row r="944">
      <c r="C944" s="62"/>
      <c r="F944" s="62"/>
      <c r="I944" s="62"/>
      <c r="L944" s="62"/>
    </row>
    <row r="945">
      <c r="C945" s="62"/>
      <c r="F945" s="62"/>
      <c r="I945" s="62"/>
      <c r="L945" s="62"/>
    </row>
    <row r="946">
      <c r="C946" s="62"/>
      <c r="F946" s="62"/>
      <c r="I946" s="62"/>
      <c r="L946" s="62"/>
    </row>
    <row r="947">
      <c r="C947" s="62"/>
      <c r="F947" s="62"/>
      <c r="I947" s="62"/>
      <c r="L947" s="62"/>
    </row>
    <row r="948">
      <c r="C948" s="62"/>
      <c r="F948" s="62"/>
      <c r="I948" s="62"/>
      <c r="L948" s="62"/>
    </row>
    <row r="949">
      <c r="C949" s="62"/>
      <c r="F949" s="62"/>
      <c r="I949" s="62"/>
      <c r="L949" s="62"/>
    </row>
    <row r="950">
      <c r="C950" s="62"/>
      <c r="F950" s="62"/>
      <c r="I950" s="62"/>
      <c r="L950" s="62"/>
    </row>
    <row r="951">
      <c r="C951" s="62"/>
      <c r="F951" s="62"/>
      <c r="I951" s="62"/>
      <c r="L951" s="62"/>
    </row>
    <row r="952">
      <c r="C952" s="62"/>
      <c r="F952" s="62"/>
      <c r="I952" s="62"/>
      <c r="L952" s="62"/>
    </row>
    <row r="953">
      <c r="C953" s="62"/>
      <c r="F953" s="62"/>
      <c r="I953" s="62"/>
      <c r="L953" s="62"/>
    </row>
    <row r="954">
      <c r="C954" s="62"/>
      <c r="F954" s="62"/>
      <c r="I954" s="62"/>
      <c r="L954" s="62"/>
    </row>
    <row r="955">
      <c r="C955" s="62"/>
      <c r="F955" s="62"/>
      <c r="I955" s="62"/>
      <c r="L955" s="62"/>
    </row>
    <row r="956">
      <c r="C956" s="62"/>
      <c r="F956" s="62"/>
      <c r="I956" s="62"/>
      <c r="L956" s="62"/>
    </row>
    <row r="957">
      <c r="C957" s="62"/>
      <c r="F957" s="62"/>
      <c r="I957" s="62"/>
      <c r="L957" s="62"/>
    </row>
    <row r="958">
      <c r="C958" s="62"/>
      <c r="F958" s="62"/>
      <c r="I958" s="62"/>
      <c r="L958" s="62"/>
    </row>
    <row r="959">
      <c r="C959" s="62"/>
      <c r="F959" s="62"/>
      <c r="I959" s="62"/>
      <c r="L959" s="62"/>
    </row>
    <row r="960">
      <c r="C960" s="62"/>
      <c r="F960" s="62"/>
      <c r="I960" s="62"/>
      <c r="L960" s="62"/>
    </row>
    <row r="961">
      <c r="C961" s="62"/>
      <c r="F961" s="62"/>
      <c r="I961" s="62"/>
      <c r="L961" s="62"/>
    </row>
    <row r="962">
      <c r="C962" s="62"/>
      <c r="F962" s="62"/>
      <c r="I962" s="62"/>
      <c r="L962" s="62"/>
    </row>
    <row r="963">
      <c r="C963" s="62"/>
      <c r="F963" s="62"/>
      <c r="I963" s="62"/>
      <c r="L963" s="62"/>
    </row>
    <row r="964">
      <c r="C964" s="62"/>
      <c r="F964" s="62"/>
      <c r="I964" s="62"/>
      <c r="L964" s="62"/>
    </row>
    <row r="965">
      <c r="C965" s="62"/>
      <c r="F965" s="62"/>
      <c r="I965" s="62"/>
      <c r="L965" s="62"/>
    </row>
    <row r="966">
      <c r="C966" s="62"/>
      <c r="F966" s="62"/>
      <c r="I966" s="62"/>
      <c r="L966" s="62"/>
    </row>
    <row r="967">
      <c r="C967" s="62"/>
      <c r="F967" s="62"/>
      <c r="I967" s="62"/>
      <c r="L967" s="62"/>
    </row>
    <row r="968">
      <c r="C968" s="62"/>
      <c r="F968" s="62"/>
      <c r="I968" s="62"/>
      <c r="L968" s="62"/>
    </row>
    <row r="969">
      <c r="C969" s="62"/>
      <c r="F969" s="62"/>
      <c r="I969" s="62"/>
      <c r="L969" s="62"/>
    </row>
    <row r="970">
      <c r="C970" s="62"/>
      <c r="F970" s="62"/>
      <c r="I970" s="62"/>
      <c r="L970" s="62"/>
    </row>
    <row r="971">
      <c r="C971" s="62"/>
      <c r="F971" s="62"/>
      <c r="I971" s="62"/>
      <c r="L971" s="62"/>
    </row>
    <row r="972">
      <c r="C972" s="62"/>
      <c r="F972" s="62"/>
      <c r="I972" s="62"/>
      <c r="L972" s="62"/>
    </row>
    <row r="973">
      <c r="C973" s="62"/>
      <c r="F973" s="62"/>
      <c r="I973" s="62"/>
      <c r="L973" s="62"/>
    </row>
    <row r="974">
      <c r="C974" s="62"/>
      <c r="F974" s="62"/>
      <c r="I974" s="62"/>
      <c r="L974" s="62"/>
    </row>
    <row r="975">
      <c r="C975" s="62"/>
      <c r="F975" s="62"/>
      <c r="I975" s="62"/>
      <c r="L975" s="62"/>
    </row>
    <row r="976">
      <c r="C976" s="62"/>
      <c r="F976" s="62"/>
      <c r="I976" s="62"/>
      <c r="L976" s="62"/>
    </row>
    <row r="977">
      <c r="C977" s="62"/>
      <c r="F977" s="62"/>
      <c r="I977" s="62"/>
      <c r="L977" s="62"/>
    </row>
    <row r="978">
      <c r="C978" s="62"/>
      <c r="F978" s="62"/>
      <c r="I978" s="62"/>
      <c r="L978" s="62"/>
    </row>
    <row r="979">
      <c r="C979" s="62"/>
      <c r="F979" s="62"/>
      <c r="I979" s="62"/>
      <c r="L979" s="62"/>
    </row>
    <row r="980">
      <c r="C980" s="62"/>
      <c r="F980" s="62"/>
      <c r="I980" s="62"/>
      <c r="L980" s="62"/>
    </row>
    <row r="981">
      <c r="C981" s="62"/>
      <c r="F981" s="62"/>
      <c r="I981" s="62"/>
      <c r="L981" s="62"/>
    </row>
    <row r="982">
      <c r="C982" s="62"/>
      <c r="F982" s="62"/>
      <c r="I982" s="62"/>
      <c r="L982" s="62"/>
    </row>
    <row r="983">
      <c r="C983" s="62"/>
      <c r="F983" s="62"/>
      <c r="I983" s="62"/>
      <c r="L983" s="62"/>
    </row>
    <row r="984">
      <c r="C984" s="62"/>
      <c r="F984" s="62"/>
      <c r="I984" s="62"/>
      <c r="L984" s="62"/>
    </row>
    <row r="985">
      <c r="C985" s="62"/>
      <c r="F985" s="62"/>
      <c r="I985" s="62"/>
      <c r="L985" s="62"/>
    </row>
    <row r="986">
      <c r="C986" s="62"/>
      <c r="F986" s="62"/>
      <c r="I986" s="62"/>
      <c r="L986" s="62"/>
    </row>
    <row r="987">
      <c r="C987" s="62"/>
      <c r="F987" s="62"/>
      <c r="I987" s="62"/>
      <c r="L987" s="62"/>
    </row>
    <row r="988">
      <c r="C988" s="62"/>
      <c r="F988" s="62"/>
      <c r="I988" s="62"/>
      <c r="L988" s="62"/>
    </row>
    <row r="989">
      <c r="C989" s="62"/>
      <c r="F989" s="62"/>
      <c r="I989" s="62"/>
      <c r="L989" s="62"/>
    </row>
    <row r="990">
      <c r="C990" s="62"/>
      <c r="F990" s="62"/>
      <c r="I990" s="62"/>
      <c r="L990" s="62"/>
    </row>
    <row r="991">
      <c r="C991" s="62"/>
      <c r="F991" s="62"/>
      <c r="I991" s="62"/>
      <c r="L991" s="62"/>
    </row>
    <row r="992">
      <c r="C992" s="62"/>
      <c r="F992" s="62"/>
      <c r="I992" s="62"/>
      <c r="L992" s="62"/>
    </row>
    <row r="993">
      <c r="C993" s="62"/>
      <c r="F993" s="62"/>
      <c r="I993" s="62"/>
      <c r="L993" s="62"/>
    </row>
    <row r="994">
      <c r="C994" s="62"/>
      <c r="F994" s="62"/>
      <c r="I994" s="62"/>
      <c r="L994" s="62"/>
    </row>
    <row r="995">
      <c r="C995" s="62"/>
      <c r="F995" s="62"/>
      <c r="I995" s="62"/>
      <c r="L995" s="62"/>
    </row>
    <row r="996">
      <c r="C996" s="62"/>
      <c r="F996" s="62"/>
      <c r="I996" s="62"/>
      <c r="L996" s="62"/>
    </row>
    <row r="997">
      <c r="C997" s="62"/>
      <c r="F997" s="62"/>
      <c r="I997" s="62"/>
      <c r="L997" s="62"/>
    </row>
    <row r="998">
      <c r="C998" s="62"/>
      <c r="F998" s="62"/>
      <c r="I998" s="62"/>
      <c r="L998" s="62"/>
    </row>
    <row r="999">
      <c r="C999" s="62"/>
      <c r="F999" s="62"/>
      <c r="I999" s="62"/>
      <c r="L999" s="62"/>
    </row>
    <row r="1000">
      <c r="C1000" s="62"/>
      <c r="F1000" s="62"/>
      <c r="I1000" s="62"/>
      <c r="L1000" s="62"/>
    </row>
  </sheetData>
  <conditionalFormatting sqref="C2:N219">
    <cfRule type="notContainsBlanks" dxfId="3" priority="1">
      <formula>LEN(TRIM(C2))&gt;0</formula>
    </cfRule>
  </conditionalFormatting>
  <dataValidations>
    <dataValidation type="custom" allowBlank="1" showDropDown="1" sqref="B2:B21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